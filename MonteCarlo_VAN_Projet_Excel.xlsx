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bseducation-my.sharepoint.com/personal/jf_verdie_tbs-education_fr/Documents/Bureau/COURS ECO FIN/ECONOMETRIE/"/>
    </mc:Choice>
  </mc:AlternateContent>
  <xr:revisionPtr revIDLastSave="0" documentId="8_{1BE2A2F8-2C90-4D74-95F6-52DC80F00E03}" xr6:coauthVersionLast="47" xr6:coauthVersionMax="47" xr10:uidLastSave="{00000000-0000-0000-0000-000000000000}"/>
  <bookViews>
    <workbookView xWindow="384" yWindow="0" windowWidth="22080" windowHeight="12240" activeTab="3" xr2:uid="{00000000-000D-0000-FFFF-FFFF00000000}"/>
  </bookViews>
  <sheets>
    <sheet name="1_Inputs" sheetId="1" r:id="rId1"/>
    <sheet name="2_Simulation" sheetId="2" r:id="rId2"/>
    <sheet name="3_Results" sheetId="3" r:id="rId3"/>
    <sheet name="4_Mode_d'empl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02" i="2"/>
  <c r="G202" i="2" s="1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E181" i="2" s="1"/>
  <c r="B180" i="2"/>
  <c r="B179" i="2"/>
  <c r="B178" i="2"/>
  <c r="B177" i="2"/>
  <c r="E177" i="2" s="1"/>
  <c r="B176" i="2"/>
  <c r="B175" i="2"/>
  <c r="B174" i="2"/>
  <c r="B173" i="2"/>
  <c r="E173" i="2" s="1"/>
  <c r="B172" i="2"/>
  <c r="B171" i="2"/>
  <c r="B170" i="2"/>
  <c r="B169" i="2"/>
  <c r="B168" i="2"/>
  <c r="B167" i="2"/>
  <c r="B166" i="2"/>
  <c r="B165" i="2"/>
  <c r="E165" i="2" s="1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E149" i="2" s="1"/>
  <c r="B148" i="2"/>
  <c r="B147" i="2"/>
  <c r="B146" i="2"/>
  <c r="B145" i="2"/>
  <c r="E145" i="2" s="1"/>
  <c r="B144" i="2"/>
  <c r="E144" i="2" s="1"/>
  <c r="B143" i="2"/>
  <c r="B142" i="2"/>
  <c r="E142" i="2" s="1"/>
  <c r="B141" i="2"/>
  <c r="B140" i="2"/>
  <c r="B139" i="2"/>
  <c r="B138" i="2"/>
  <c r="E138" i="2" s="1"/>
  <c r="B137" i="2"/>
  <c r="B136" i="2"/>
  <c r="E136" i="2" s="1"/>
  <c r="B135" i="2"/>
  <c r="E135" i="2" s="1"/>
  <c r="B134" i="2"/>
  <c r="E134" i="2" s="1"/>
  <c r="B133" i="2"/>
  <c r="B132" i="2"/>
  <c r="B131" i="2"/>
  <c r="B130" i="2"/>
  <c r="E130" i="2" s="1"/>
  <c r="B129" i="2"/>
  <c r="E129" i="2" s="1"/>
  <c r="B128" i="2"/>
  <c r="B127" i="2"/>
  <c r="B126" i="2"/>
  <c r="E126" i="2" s="1"/>
  <c r="B125" i="2"/>
  <c r="B124" i="2"/>
  <c r="B123" i="2"/>
  <c r="B122" i="2"/>
  <c r="E122" i="2" s="1"/>
  <c r="B121" i="2"/>
  <c r="C121" i="2" s="1"/>
  <c r="B120" i="2"/>
  <c r="B119" i="2"/>
  <c r="G119" i="2" s="1"/>
  <c r="B118" i="2"/>
  <c r="E118" i="2" s="1"/>
  <c r="B117" i="2"/>
  <c r="C117" i="2" s="1"/>
  <c r="B116" i="2"/>
  <c r="G116" i="2" s="1"/>
  <c r="B115" i="2"/>
  <c r="G115" i="2" s="1"/>
  <c r="B114" i="2"/>
  <c r="E114" i="2" s="1"/>
  <c r="B113" i="2"/>
  <c r="C113" i="2" s="1"/>
  <c r="B112" i="2"/>
  <c r="B111" i="2"/>
  <c r="G111" i="2" s="1"/>
  <c r="B110" i="2"/>
  <c r="E110" i="2" s="1"/>
  <c r="B109" i="2"/>
  <c r="C109" i="2" s="1"/>
  <c r="B108" i="2"/>
  <c r="G108" i="2" s="1"/>
  <c r="B107" i="2"/>
  <c r="G107" i="2" s="1"/>
  <c r="B106" i="2"/>
  <c r="E106" i="2" s="1"/>
  <c r="B105" i="2"/>
  <c r="C105" i="2" s="1"/>
  <c r="B104" i="2"/>
  <c r="G104" i="2" s="1"/>
  <c r="B103" i="2"/>
  <c r="G103" i="2" s="1"/>
  <c r="B102" i="2"/>
  <c r="E102" i="2" s="1"/>
  <c r="B101" i="2"/>
  <c r="C101" i="2" s="1"/>
  <c r="B100" i="2"/>
  <c r="G100" i="2" s="1"/>
  <c r="B99" i="2"/>
  <c r="G99" i="2" s="1"/>
  <c r="B98" i="2"/>
  <c r="E98" i="2" s="1"/>
  <c r="B97" i="2"/>
  <c r="C97" i="2" s="1"/>
  <c r="B96" i="2"/>
  <c r="B95" i="2"/>
  <c r="G95" i="2" s="1"/>
  <c r="B94" i="2"/>
  <c r="E94" i="2" s="1"/>
  <c r="B93" i="2"/>
  <c r="C93" i="2" s="1"/>
  <c r="B92" i="2"/>
  <c r="G92" i="2" s="1"/>
  <c r="B91" i="2"/>
  <c r="G91" i="2" s="1"/>
  <c r="B90" i="2"/>
  <c r="E90" i="2" s="1"/>
  <c r="B89" i="2"/>
  <c r="C89" i="2" s="1"/>
  <c r="B88" i="2"/>
  <c r="G88" i="2" s="1"/>
  <c r="B87" i="2"/>
  <c r="G87" i="2" s="1"/>
  <c r="B86" i="2"/>
  <c r="E86" i="2" s="1"/>
  <c r="B85" i="2"/>
  <c r="C85" i="2" s="1"/>
  <c r="B84" i="2"/>
  <c r="G84" i="2" s="1"/>
  <c r="B83" i="2"/>
  <c r="G83" i="2" s="1"/>
  <c r="B82" i="2"/>
  <c r="E82" i="2" s="1"/>
  <c r="B81" i="2"/>
  <c r="C81" i="2" s="1"/>
  <c r="B80" i="2"/>
  <c r="G80" i="2" s="1"/>
  <c r="B79" i="2"/>
  <c r="G79" i="2" s="1"/>
  <c r="B78" i="2"/>
  <c r="E78" i="2" s="1"/>
  <c r="B77" i="2"/>
  <c r="C77" i="2" s="1"/>
  <c r="B76" i="2"/>
  <c r="G76" i="2" s="1"/>
  <c r="B75" i="2"/>
  <c r="G75" i="2" s="1"/>
  <c r="B74" i="2"/>
  <c r="E74" i="2" s="1"/>
  <c r="B73" i="2"/>
  <c r="C73" i="2" s="1"/>
  <c r="B72" i="2"/>
  <c r="B71" i="2"/>
  <c r="G71" i="2" s="1"/>
  <c r="B70" i="2"/>
  <c r="E70" i="2" s="1"/>
  <c r="B69" i="2"/>
  <c r="C69" i="2" s="1"/>
  <c r="B68" i="2"/>
  <c r="G68" i="2" s="1"/>
  <c r="B67" i="2"/>
  <c r="G67" i="2" s="1"/>
  <c r="B66" i="2"/>
  <c r="E66" i="2" s="1"/>
  <c r="B65" i="2"/>
  <c r="C65" i="2" s="1"/>
  <c r="B64" i="2"/>
  <c r="G64" i="2" s="1"/>
  <c r="B63" i="2"/>
  <c r="G63" i="2" s="1"/>
  <c r="B62" i="2"/>
  <c r="E62" i="2" s="1"/>
  <c r="B61" i="2"/>
  <c r="C61" i="2" s="1"/>
  <c r="B60" i="2"/>
  <c r="G60" i="2" s="1"/>
  <c r="B59" i="2"/>
  <c r="G59" i="2" s="1"/>
  <c r="B58" i="2"/>
  <c r="E58" i="2" s="1"/>
  <c r="B57" i="2"/>
  <c r="G57" i="2" s="1"/>
  <c r="B56" i="2"/>
  <c r="F56" i="2" s="1"/>
  <c r="B55" i="2"/>
  <c r="D55" i="2" s="1"/>
  <c r="B54" i="2"/>
  <c r="F54" i="2" s="1"/>
  <c r="B53" i="2"/>
  <c r="G53" i="2" s="1"/>
  <c r="B52" i="2"/>
  <c r="G52" i="2" s="1"/>
  <c r="B51" i="2"/>
  <c r="G51" i="2" s="1"/>
  <c r="B50" i="2"/>
  <c r="G50" i="2" s="1"/>
  <c r="B49" i="2"/>
  <c r="F49" i="2" s="1"/>
  <c r="B48" i="2"/>
  <c r="E48" i="2" s="1"/>
  <c r="B47" i="2"/>
  <c r="D47" i="2" s="1"/>
  <c r="B46" i="2"/>
  <c r="C46" i="2" s="1"/>
  <c r="B45" i="2"/>
  <c r="F45" i="2" s="1"/>
  <c r="B44" i="2"/>
  <c r="D44" i="2" s="1"/>
  <c r="B43" i="2"/>
  <c r="C43" i="2" s="1"/>
  <c r="B42" i="2"/>
  <c r="G42" i="2" s="1"/>
  <c r="B41" i="2"/>
  <c r="F41" i="2" s="1"/>
  <c r="B40" i="2"/>
  <c r="E40" i="2" s="1"/>
  <c r="B39" i="2"/>
  <c r="D39" i="2" s="1"/>
  <c r="B38" i="2"/>
  <c r="F38" i="2" s="1"/>
  <c r="B37" i="2"/>
  <c r="G37" i="2" s="1"/>
  <c r="B36" i="2"/>
  <c r="G36" i="2" s="1"/>
  <c r="B35" i="2"/>
  <c r="G35" i="2" s="1"/>
  <c r="B34" i="2"/>
  <c r="G34" i="2" s="1"/>
  <c r="B33" i="2"/>
  <c r="F33" i="2" s="1"/>
  <c r="B32" i="2"/>
  <c r="B31" i="2"/>
  <c r="D31" i="2" s="1"/>
  <c r="B30" i="2"/>
  <c r="F30" i="2" s="1"/>
  <c r="B29" i="2"/>
  <c r="E29" i="2" s="1"/>
  <c r="B28" i="2"/>
  <c r="G28" i="2" s="1"/>
  <c r="B27" i="2"/>
  <c r="C27" i="2" s="1"/>
  <c r="B26" i="2"/>
  <c r="G26" i="2" s="1"/>
  <c r="B25" i="2"/>
  <c r="F25" i="2" s="1"/>
  <c r="B23" i="2"/>
  <c r="D23" i="2" s="1"/>
  <c r="B22" i="2"/>
  <c r="C22" i="2" s="1"/>
  <c r="B21" i="2"/>
  <c r="G21" i="2" s="1"/>
  <c r="B20" i="2"/>
  <c r="D20" i="2" s="1"/>
  <c r="B19" i="2"/>
  <c r="C19" i="2" s="1"/>
  <c r="B18" i="2"/>
  <c r="G18" i="2" s="1"/>
  <c r="B17" i="2"/>
  <c r="F17" i="2" s="1"/>
  <c r="B16" i="2"/>
  <c r="E16" i="2" s="1"/>
  <c r="B15" i="2"/>
  <c r="B14" i="2"/>
  <c r="C14" i="2" s="1"/>
  <c r="B13" i="2"/>
  <c r="D13" i="2" s="1"/>
  <c r="B12" i="2"/>
  <c r="D12" i="2" s="1"/>
  <c r="B11" i="2"/>
  <c r="C11" i="2" s="1"/>
  <c r="B10" i="2"/>
  <c r="G10" i="2" s="1"/>
  <c r="B9" i="2"/>
  <c r="F9" i="2" s="1"/>
  <c r="B8" i="2"/>
  <c r="E8" i="2" s="1"/>
  <c r="B7" i="2"/>
  <c r="D7" i="2" s="1"/>
  <c r="B6" i="2"/>
  <c r="B5" i="2"/>
  <c r="F5" i="2" s="1"/>
  <c r="B4" i="2"/>
  <c r="D4" i="2" s="1"/>
  <c r="B3" i="2"/>
  <c r="C3" i="2" s="1"/>
  <c r="B12" i="3"/>
  <c r="E128" i="2"/>
  <c r="E127" i="2"/>
  <c r="G120" i="2"/>
  <c r="G112" i="2"/>
  <c r="G96" i="2"/>
  <c r="G72" i="2"/>
  <c r="E32" i="2"/>
  <c r="E24" i="2"/>
  <c r="D15" i="2"/>
  <c r="C6" i="2"/>
  <c r="D14" i="1"/>
  <c r="D13" i="1"/>
  <c r="D12" i="1"/>
  <c r="D11" i="1"/>
  <c r="D10" i="1"/>
  <c r="E117" i="2" l="1"/>
  <c r="G15" i="2"/>
  <c r="F42" i="2"/>
  <c r="F121" i="2"/>
  <c r="E101" i="2"/>
  <c r="G114" i="2"/>
  <c r="D42" i="2"/>
  <c r="D102" i="2"/>
  <c r="D29" i="2"/>
  <c r="G74" i="2"/>
  <c r="D111" i="2"/>
  <c r="G70" i="2"/>
  <c r="D93" i="2"/>
  <c r="D5" i="2"/>
  <c r="D37" i="2"/>
  <c r="C49" i="2"/>
  <c r="D77" i="2"/>
  <c r="D83" i="2"/>
  <c r="E93" i="2"/>
  <c r="F103" i="2"/>
  <c r="G121" i="2"/>
  <c r="G49" i="2"/>
  <c r="F83" i="2"/>
  <c r="G66" i="2"/>
  <c r="D6" i="2"/>
  <c r="F32" i="2"/>
  <c r="D69" i="2"/>
  <c r="E89" i="2"/>
  <c r="F111" i="2"/>
  <c r="E23" i="2"/>
  <c r="D87" i="2"/>
  <c r="D98" i="2"/>
  <c r="E13" i="2"/>
  <c r="E45" i="2"/>
  <c r="D65" i="2"/>
  <c r="E69" i="2"/>
  <c r="D74" i="2"/>
  <c r="D79" i="2"/>
  <c r="D101" i="2"/>
  <c r="F8" i="2"/>
  <c r="C52" i="2"/>
  <c r="D66" i="2"/>
  <c r="D70" i="2"/>
  <c r="F86" i="2"/>
  <c r="D97" i="2"/>
  <c r="F10" i="2"/>
  <c r="D49" i="2"/>
  <c r="E54" i="2"/>
  <c r="D59" i="2"/>
  <c r="F71" i="2"/>
  <c r="D75" i="2"/>
  <c r="F79" i="2"/>
  <c r="E97" i="2"/>
  <c r="D105" i="2"/>
  <c r="F75" i="2"/>
  <c r="F90" i="2"/>
  <c r="D94" i="2"/>
  <c r="E105" i="2"/>
  <c r="D109" i="2"/>
  <c r="F118" i="2"/>
  <c r="C36" i="2"/>
  <c r="F94" i="2"/>
  <c r="E109" i="2"/>
  <c r="E7" i="2"/>
  <c r="D18" i="2"/>
  <c r="D41" i="2"/>
  <c r="D56" i="2"/>
  <c r="D61" i="2"/>
  <c r="E65" i="2"/>
  <c r="D73" i="2"/>
  <c r="D91" i="2"/>
  <c r="G94" i="2"/>
  <c r="G98" i="2"/>
  <c r="G102" i="2"/>
  <c r="D106" i="2"/>
  <c r="D119" i="2"/>
  <c r="E25" i="2"/>
  <c r="C37" i="2"/>
  <c r="E61" i="2"/>
  <c r="G106" i="2"/>
  <c r="D115" i="2"/>
  <c r="E37" i="2"/>
  <c r="F58" i="2"/>
  <c r="F62" i="2"/>
  <c r="F107" i="2"/>
  <c r="G17" i="2"/>
  <c r="D22" i="2"/>
  <c r="D24" i="2"/>
  <c r="D30" i="2"/>
  <c r="D34" i="2"/>
  <c r="D40" i="2"/>
  <c r="E47" i="2"/>
  <c r="G58" i="2"/>
  <c r="D67" i="2"/>
  <c r="F70" i="2"/>
  <c r="E73" i="2"/>
  <c r="D82" i="2"/>
  <c r="D85" i="2"/>
  <c r="F87" i="2"/>
  <c r="G90" i="2"/>
  <c r="D99" i="2"/>
  <c r="F102" i="2"/>
  <c r="D114" i="2"/>
  <c r="D117" i="2"/>
  <c r="F119" i="2"/>
  <c r="C7" i="2"/>
  <c r="E15" i="2"/>
  <c r="E22" i="2"/>
  <c r="F24" i="2"/>
  <c r="C28" i="2"/>
  <c r="F34" i="2"/>
  <c r="F37" i="2"/>
  <c r="G40" i="2"/>
  <c r="G47" i="2"/>
  <c r="D50" i="2"/>
  <c r="D62" i="2"/>
  <c r="F67" i="2"/>
  <c r="F82" i="2"/>
  <c r="E85" i="2"/>
  <c r="F99" i="2"/>
  <c r="F114" i="2"/>
  <c r="G82" i="2"/>
  <c r="C5" i="2"/>
  <c r="C13" i="2"/>
  <c r="C23" i="2"/>
  <c r="C25" i="2"/>
  <c r="C29" i="2"/>
  <c r="D32" i="2"/>
  <c r="D38" i="2"/>
  <c r="C41" i="2"/>
  <c r="C45" i="2"/>
  <c r="E56" i="2"/>
  <c r="F59" i="2"/>
  <c r="G62" i="2"/>
  <c r="D71" i="2"/>
  <c r="F74" i="2"/>
  <c r="E77" i="2"/>
  <c r="D86" i="2"/>
  <c r="D89" i="2"/>
  <c r="F91" i="2"/>
  <c r="D103" i="2"/>
  <c r="F106" i="2"/>
  <c r="D118" i="2"/>
  <c r="G5" i="2"/>
  <c r="F13" i="2"/>
  <c r="C17" i="2"/>
  <c r="C20" i="2"/>
  <c r="F23" i="2"/>
  <c r="F29" i="2"/>
  <c r="G32" i="2"/>
  <c r="E39" i="2"/>
  <c r="G45" i="2"/>
  <c r="D63" i="2"/>
  <c r="F66" i="2"/>
  <c r="D78" i="2"/>
  <c r="D81" i="2"/>
  <c r="G86" i="2"/>
  <c r="D95" i="2"/>
  <c r="F98" i="2"/>
  <c r="D110" i="2"/>
  <c r="D113" i="2"/>
  <c r="F115" i="2"/>
  <c r="G118" i="2"/>
  <c r="G13" i="2"/>
  <c r="D17" i="2"/>
  <c r="G23" i="2"/>
  <c r="G29" i="2"/>
  <c r="F39" i="2"/>
  <c r="E49" i="2"/>
  <c r="D58" i="2"/>
  <c r="F63" i="2"/>
  <c r="F78" i="2"/>
  <c r="E81" i="2"/>
  <c r="D90" i="2"/>
  <c r="F95" i="2"/>
  <c r="D107" i="2"/>
  <c r="F110" i="2"/>
  <c r="E113" i="2"/>
  <c r="E17" i="2"/>
  <c r="G78" i="2"/>
  <c r="G110" i="2"/>
  <c r="C31" i="2"/>
  <c r="C60" i="2"/>
  <c r="C64" i="2"/>
  <c r="C68" i="2"/>
  <c r="C72" i="2"/>
  <c r="C76" i="2"/>
  <c r="C80" i="2"/>
  <c r="C84" i="2"/>
  <c r="C88" i="2"/>
  <c r="C92" i="2"/>
  <c r="C96" i="2"/>
  <c r="C100" i="2"/>
  <c r="C104" i="2"/>
  <c r="C108" i="2"/>
  <c r="C112" i="2"/>
  <c r="C116" i="2"/>
  <c r="C120" i="2"/>
  <c r="C9" i="2"/>
  <c r="E5" i="2"/>
  <c r="F7" i="2"/>
  <c r="D9" i="2"/>
  <c r="D14" i="2"/>
  <c r="D16" i="2"/>
  <c r="C21" i="2"/>
  <c r="G24" i="2"/>
  <c r="D26" i="2"/>
  <c r="E31" i="2"/>
  <c r="C33" i="2"/>
  <c r="G39" i="2"/>
  <c r="E41" i="2"/>
  <c r="C44" i="2"/>
  <c r="D46" i="2"/>
  <c r="D48" i="2"/>
  <c r="C53" i="2"/>
  <c r="C55" i="2"/>
  <c r="G56" i="2"/>
  <c r="D60" i="2"/>
  <c r="F61" i="2"/>
  <c r="D64" i="2"/>
  <c r="F65" i="2"/>
  <c r="D68" i="2"/>
  <c r="F69" i="2"/>
  <c r="D72" i="2"/>
  <c r="F73" i="2"/>
  <c r="D76" i="2"/>
  <c r="F77" i="2"/>
  <c r="D80" i="2"/>
  <c r="F81" i="2"/>
  <c r="D84" i="2"/>
  <c r="F85" i="2"/>
  <c r="D88" i="2"/>
  <c r="F89" i="2"/>
  <c r="D92" i="2"/>
  <c r="F93" i="2"/>
  <c r="D96" i="2"/>
  <c r="F97" i="2"/>
  <c r="D100" i="2"/>
  <c r="F101" i="2"/>
  <c r="D104" i="2"/>
  <c r="F105" i="2"/>
  <c r="D108" i="2"/>
  <c r="F109" i="2"/>
  <c r="D112" i="2"/>
  <c r="F113" i="2"/>
  <c r="D116" i="2"/>
  <c r="F117" i="2"/>
  <c r="D120" i="2"/>
  <c r="G7" i="2"/>
  <c r="E9" i="2"/>
  <c r="E14" i="2"/>
  <c r="F16" i="2"/>
  <c r="D21" i="2"/>
  <c r="F26" i="2"/>
  <c r="F31" i="2"/>
  <c r="D33" i="2"/>
  <c r="G41" i="2"/>
  <c r="E46" i="2"/>
  <c r="F48" i="2"/>
  <c r="D53" i="2"/>
  <c r="E55" i="2"/>
  <c r="C59" i="2"/>
  <c r="E60" i="2"/>
  <c r="G61" i="2"/>
  <c r="C63" i="2"/>
  <c r="E64" i="2"/>
  <c r="G65" i="2"/>
  <c r="C67" i="2"/>
  <c r="E68" i="2"/>
  <c r="G69" i="2"/>
  <c r="C71" i="2"/>
  <c r="E72" i="2"/>
  <c r="G73" i="2"/>
  <c r="C75" i="2"/>
  <c r="E76" i="2"/>
  <c r="G77" i="2"/>
  <c r="C79" i="2"/>
  <c r="E80" i="2"/>
  <c r="G81" i="2"/>
  <c r="C83" i="2"/>
  <c r="E84" i="2"/>
  <c r="G85" i="2"/>
  <c r="C87" i="2"/>
  <c r="E88" i="2"/>
  <c r="G89" i="2"/>
  <c r="C91" i="2"/>
  <c r="E92" i="2"/>
  <c r="G93" i="2"/>
  <c r="C95" i="2"/>
  <c r="E96" i="2"/>
  <c r="G97" i="2"/>
  <c r="C99" i="2"/>
  <c r="E100" i="2"/>
  <c r="G101" i="2"/>
  <c r="C103" i="2"/>
  <c r="E104" i="2"/>
  <c r="G105" i="2"/>
  <c r="C107" i="2"/>
  <c r="E108" i="2"/>
  <c r="G109" i="2"/>
  <c r="C111" i="2"/>
  <c r="E112" i="2"/>
  <c r="G113" i="2"/>
  <c r="C115" i="2"/>
  <c r="E116" i="2"/>
  <c r="G117" i="2"/>
  <c r="C119" i="2"/>
  <c r="E120" i="2"/>
  <c r="G9" i="2"/>
  <c r="G16" i="2"/>
  <c r="E21" i="2"/>
  <c r="G31" i="2"/>
  <c r="E33" i="2"/>
  <c r="G48" i="2"/>
  <c r="E53" i="2"/>
  <c r="F55" i="2"/>
  <c r="F60" i="2"/>
  <c r="F64" i="2"/>
  <c r="F68" i="2"/>
  <c r="F72" i="2"/>
  <c r="F76" i="2"/>
  <c r="F80" i="2"/>
  <c r="F84" i="2"/>
  <c r="F88" i="2"/>
  <c r="F92" i="2"/>
  <c r="F96" i="2"/>
  <c r="F100" i="2"/>
  <c r="F104" i="2"/>
  <c r="F108" i="2"/>
  <c r="F112" i="2"/>
  <c r="F116" i="2"/>
  <c r="F120" i="2"/>
  <c r="G3" i="2"/>
  <c r="D8" i="2"/>
  <c r="C15" i="2"/>
  <c r="F18" i="2"/>
  <c r="F21" i="2"/>
  <c r="D25" i="2"/>
  <c r="G33" i="2"/>
  <c r="E38" i="2"/>
  <c r="F40" i="2"/>
  <c r="D45" i="2"/>
  <c r="C47" i="2"/>
  <c r="F50" i="2"/>
  <c r="F53" i="2"/>
  <c r="G55" i="2"/>
  <c r="C58" i="2"/>
  <c r="E59" i="2"/>
  <c r="C62" i="2"/>
  <c r="E63" i="2"/>
  <c r="C66" i="2"/>
  <c r="E67" i="2"/>
  <c r="C70" i="2"/>
  <c r="E71" i="2"/>
  <c r="C74" i="2"/>
  <c r="E75" i="2"/>
  <c r="C78" i="2"/>
  <c r="E79" i="2"/>
  <c r="C82" i="2"/>
  <c r="E83" i="2"/>
  <c r="C86" i="2"/>
  <c r="E87" i="2"/>
  <c r="C90" i="2"/>
  <c r="E91" i="2"/>
  <c r="C94" i="2"/>
  <c r="E95" i="2"/>
  <c r="C98" i="2"/>
  <c r="E99" i="2"/>
  <c r="C102" i="2"/>
  <c r="E103" i="2"/>
  <c r="C106" i="2"/>
  <c r="E107" i="2"/>
  <c r="C110" i="2"/>
  <c r="E111" i="2"/>
  <c r="C114" i="2"/>
  <c r="E115" i="2"/>
  <c r="C118" i="2"/>
  <c r="E119" i="2"/>
  <c r="E202" i="2"/>
  <c r="G8" i="2"/>
  <c r="D10" i="2"/>
  <c r="F15" i="2"/>
  <c r="G25" i="2"/>
  <c r="E30" i="2"/>
  <c r="C39" i="2"/>
  <c r="F47" i="2"/>
  <c r="C56" i="2"/>
  <c r="D121" i="2"/>
  <c r="C12" i="2"/>
  <c r="F6" i="2"/>
  <c r="F14" i="2"/>
  <c r="F22" i="2"/>
  <c r="D28" i="2"/>
  <c r="C35" i="2"/>
  <c r="D36" i="2"/>
  <c r="F46" i="2"/>
  <c r="C51" i="2"/>
  <c r="D52" i="2"/>
  <c r="C57" i="2"/>
  <c r="D3" i="2"/>
  <c r="E4" i="2"/>
  <c r="G6" i="2"/>
  <c r="C10" i="2"/>
  <c r="D11" i="2"/>
  <c r="E12" i="2"/>
  <c r="G14" i="2"/>
  <c r="C18" i="2"/>
  <c r="D19" i="2"/>
  <c r="E20" i="2"/>
  <c r="G22" i="2"/>
  <c r="C26" i="2"/>
  <c r="D27" i="2"/>
  <c r="E28" i="2"/>
  <c r="G30" i="2"/>
  <c r="C34" i="2"/>
  <c r="D35" i="2"/>
  <c r="E36" i="2"/>
  <c r="G38" i="2"/>
  <c r="C42" i="2"/>
  <c r="D43" i="2"/>
  <c r="E44" i="2"/>
  <c r="G46" i="2"/>
  <c r="C50" i="2"/>
  <c r="D51" i="2"/>
  <c r="E52" i="2"/>
  <c r="G54" i="2"/>
  <c r="D57" i="2"/>
  <c r="G161" i="2"/>
  <c r="F161" i="2"/>
  <c r="D161" i="2"/>
  <c r="C161" i="2"/>
  <c r="G193" i="2"/>
  <c r="F193" i="2"/>
  <c r="D193" i="2"/>
  <c r="C193" i="2"/>
  <c r="C4" i="2"/>
  <c r="E6" i="2"/>
  <c r="E3" i="2"/>
  <c r="F4" i="2"/>
  <c r="E11" i="2"/>
  <c r="F12" i="2"/>
  <c r="E19" i="2"/>
  <c r="F20" i="2"/>
  <c r="E27" i="2"/>
  <c r="E35" i="2"/>
  <c r="F36" i="2"/>
  <c r="F44" i="2"/>
  <c r="F52" i="2"/>
  <c r="E57" i="2"/>
  <c r="G149" i="2"/>
  <c r="F149" i="2"/>
  <c r="D149" i="2"/>
  <c r="C149" i="2"/>
  <c r="E161" i="2"/>
  <c r="G181" i="2"/>
  <c r="F181" i="2"/>
  <c r="D181" i="2"/>
  <c r="C181" i="2"/>
  <c r="E193" i="2"/>
  <c r="F28" i="2"/>
  <c r="E43" i="2"/>
  <c r="E51" i="2"/>
  <c r="F3" i="2"/>
  <c r="G4" i="2"/>
  <c r="C8" i="2"/>
  <c r="E10" i="2"/>
  <c r="F11" i="2"/>
  <c r="G12" i="2"/>
  <c r="C16" i="2"/>
  <c r="E18" i="2"/>
  <c r="F19" i="2"/>
  <c r="G20" i="2"/>
  <c r="C24" i="2"/>
  <c r="E26" i="2"/>
  <c r="F27" i="2"/>
  <c r="C32" i="2"/>
  <c r="E34" i="2"/>
  <c r="F35" i="2"/>
  <c r="C40" i="2"/>
  <c r="E42" i="2"/>
  <c r="F43" i="2"/>
  <c r="G44" i="2"/>
  <c r="C48" i="2"/>
  <c r="E50" i="2"/>
  <c r="F51" i="2"/>
  <c r="F57" i="2"/>
  <c r="G169" i="2"/>
  <c r="F169" i="2"/>
  <c r="D169" i="2"/>
  <c r="C169" i="2"/>
  <c r="G201" i="2"/>
  <c r="F201" i="2"/>
  <c r="D201" i="2"/>
  <c r="C201" i="2"/>
  <c r="G157" i="2"/>
  <c r="F157" i="2"/>
  <c r="D157" i="2"/>
  <c r="C157" i="2"/>
  <c r="E169" i="2"/>
  <c r="G189" i="2"/>
  <c r="F189" i="2"/>
  <c r="D189" i="2"/>
  <c r="C189" i="2"/>
  <c r="E201" i="2"/>
  <c r="G11" i="2"/>
  <c r="G19" i="2"/>
  <c r="G27" i="2"/>
  <c r="G43" i="2"/>
  <c r="C30" i="2"/>
  <c r="C38" i="2"/>
  <c r="C54" i="2"/>
  <c r="G140" i="2"/>
  <c r="F140" i="2"/>
  <c r="D140" i="2"/>
  <c r="C140" i="2"/>
  <c r="E140" i="2"/>
  <c r="G145" i="2"/>
  <c r="F145" i="2"/>
  <c r="D145" i="2"/>
  <c r="C145" i="2"/>
  <c r="E157" i="2"/>
  <c r="G177" i="2"/>
  <c r="F177" i="2"/>
  <c r="D177" i="2"/>
  <c r="C177" i="2"/>
  <c r="E189" i="2"/>
  <c r="D54" i="2"/>
  <c r="G132" i="2"/>
  <c r="F132" i="2"/>
  <c r="D132" i="2"/>
  <c r="C132" i="2"/>
  <c r="E132" i="2"/>
  <c r="G165" i="2"/>
  <c r="F165" i="2"/>
  <c r="D165" i="2"/>
  <c r="C165" i="2"/>
  <c r="G197" i="2"/>
  <c r="F197" i="2"/>
  <c r="D197" i="2"/>
  <c r="C197" i="2"/>
  <c r="G124" i="2"/>
  <c r="F124" i="2"/>
  <c r="D124" i="2"/>
  <c r="C124" i="2"/>
  <c r="E124" i="2"/>
  <c r="G137" i="2"/>
  <c r="F137" i="2"/>
  <c r="D137" i="2"/>
  <c r="C137" i="2"/>
  <c r="G153" i="2"/>
  <c r="F153" i="2"/>
  <c r="D153" i="2"/>
  <c r="C153" i="2"/>
  <c r="G185" i="2"/>
  <c r="F185" i="2"/>
  <c r="D185" i="2"/>
  <c r="C185" i="2"/>
  <c r="E197" i="2"/>
  <c r="G129" i="2"/>
  <c r="F129" i="2"/>
  <c r="D129" i="2"/>
  <c r="C129" i="2"/>
  <c r="E137" i="2"/>
  <c r="E153" i="2"/>
  <c r="G173" i="2"/>
  <c r="F173" i="2"/>
  <c r="D173" i="2"/>
  <c r="C173" i="2"/>
  <c r="E185" i="2"/>
  <c r="G123" i="2"/>
  <c r="F123" i="2"/>
  <c r="D123" i="2"/>
  <c r="C123" i="2"/>
  <c r="G131" i="2"/>
  <c r="F131" i="2"/>
  <c r="D131" i="2"/>
  <c r="C131" i="2"/>
  <c r="G139" i="2"/>
  <c r="F139" i="2"/>
  <c r="D139" i="2"/>
  <c r="C139" i="2"/>
  <c r="G148" i="2"/>
  <c r="F148" i="2"/>
  <c r="D148" i="2"/>
  <c r="C148" i="2"/>
  <c r="G152" i="2"/>
  <c r="F152" i="2"/>
  <c r="D152" i="2"/>
  <c r="C152" i="2"/>
  <c r="G156" i="2"/>
  <c r="F156" i="2"/>
  <c r="D156" i="2"/>
  <c r="C156" i="2"/>
  <c r="G160" i="2"/>
  <c r="F160" i="2"/>
  <c r="D160" i="2"/>
  <c r="C160" i="2"/>
  <c r="G164" i="2"/>
  <c r="F164" i="2"/>
  <c r="D164" i="2"/>
  <c r="C164" i="2"/>
  <c r="G168" i="2"/>
  <c r="F168" i="2"/>
  <c r="D168" i="2"/>
  <c r="C168" i="2"/>
  <c r="G172" i="2"/>
  <c r="F172" i="2"/>
  <c r="D172" i="2"/>
  <c r="C172" i="2"/>
  <c r="G176" i="2"/>
  <c r="F176" i="2"/>
  <c r="D176" i="2"/>
  <c r="C176" i="2"/>
  <c r="G180" i="2"/>
  <c r="F180" i="2"/>
  <c r="D180" i="2"/>
  <c r="C180" i="2"/>
  <c r="G184" i="2"/>
  <c r="F184" i="2"/>
  <c r="D184" i="2"/>
  <c r="C184" i="2"/>
  <c r="G188" i="2"/>
  <c r="F188" i="2"/>
  <c r="D188" i="2"/>
  <c r="C188" i="2"/>
  <c r="G192" i="2"/>
  <c r="F192" i="2"/>
  <c r="D192" i="2"/>
  <c r="C192" i="2"/>
  <c r="G196" i="2"/>
  <c r="F196" i="2"/>
  <c r="D196" i="2"/>
  <c r="C196" i="2"/>
  <c r="G200" i="2"/>
  <c r="F200" i="2"/>
  <c r="D200" i="2"/>
  <c r="C200" i="2"/>
  <c r="E121" i="2"/>
  <c r="E123" i="2"/>
  <c r="G126" i="2"/>
  <c r="F126" i="2"/>
  <c r="D126" i="2"/>
  <c r="C126" i="2"/>
  <c r="E131" i="2"/>
  <c r="G134" i="2"/>
  <c r="F134" i="2"/>
  <c r="D134" i="2"/>
  <c r="C134" i="2"/>
  <c r="E139" i="2"/>
  <c r="G142" i="2"/>
  <c r="F142" i="2"/>
  <c r="D142" i="2"/>
  <c r="C142" i="2"/>
  <c r="E148" i="2"/>
  <c r="E152" i="2"/>
  <c r="E156" i="2"/>
  <c r="E160" i="2"/>
  <c r="E164" i="2"/>
  <c r="E168" i="2"/>
  <c r="E172" i="2"/>
  <c r="E176" i="2"/>
  <c r="E180" i="2"/>
  <c r="E184" i="2"/>
  <c r="E188" i="2"/>
  <c r="E192" i="2"/>
  <c r="E196" i="2"/>
  <c r="E200" i="2"/>
  <c r="G127" i="2"/>
  <c r="F127" i="2"/>
  <c r="D127" i="2"/>
  <c r="C127" i="2"/>
  <c r="G135" i="2"/>
  <c r="F135" i="2"/>
  <c r="D135" i="2"/>
  <c r="C135" i="2"/>
  <c r="G143" i="2"/>
  <c r="F143" i="2"/>
  <c r="D143" i="2"/>
  <c r="C143" i="2"/>
  <c r="G146" i="2"/>
  <c r="F146" i="2"/>
  <c r="D146" i="2"/>
  <c r="C146" i="2"/>
  <c r="G150" i="2"/>
  <c r="F150" i="2"/>
  <c r="D150" i="2"/>
  <c r="C150" i="2"/>
  <c r="G154" i="2"/>
  <c r="F154" i="2"/>
  <c r="D154" i="2"/>
  <c r="C154" i="2"/>
  <c r="G158" i="2"/>
  <c r="F158" i="2"/>
  <c r="D158" i="2"/>
  <c r="C158" i="2"/>
  <c r="G162" i="2"/>
  <c r="F162" i="2"/>
  <c r="D162" i="2"/>
  <c r="C162" i="2"/>
  <c r="G166" i="2"/>
  <c r="F166" i="2"/>
  <c r="D166" i="2"/>
  <c r="C166" i="2"/>
  <c r="G170" i="2"/>
  <c r="F170" i="2"/>
  <c r="D170" i="2"/>
  <c r="C170" i="2"/>
  <c r="G174" i="2"/>
  <c r="F174" i="2"/>
  <c r="D174" i="2"/>
  <c r="C174" i="2"/>
  <c r="G178" i="2"/>
  <c r="F178" i="2"/>
  <c r="D178" i="2"/>
  <c r="C178" i="2"/>
  <c r="G182" i="2"/>
  <c r="F182" i="2"/>
  <c r="D182" i="2"/>
  <c r="C182" i="2"/>
  <c r="G186" i="2"/>
  <c r="F186" i="2"/>
  <c r="D186" i="2"/>
  <c r="C186" i="2"/>
  <c r="G190" i="2"/>
  <c r="F190" i="2"/>
  <c r="D190" i="2"/>
  <c r="C190" i="2"/>
  <c r="G194" i="2"/>
  <c r="F194" i="2"/>
  <c r="D194" i="2"/>
  <c r="C194" i="2"/>
  <c r="G198" i="2"/>
  <c r="F198" i="2"/>
  <c r="D198" i="2"/>
  <c r="C198" i="2"/>
  <c r="G122" i="2"/>
  <c r="F122" i="2"/>
  <c r="D122" i="2"/>
  <c r="C122" i="2"/>
  <c r="G130" i="2"/>
  <c r="F130" i="2"/>
  <c r="D130" i="2"/>
  <c r="C130" i="2"/>
  <c r="G138" i="2"/>
  <c r="F138" i="2"/>
  <c r="D138" i="2"/>
  <c r="C138" i="2"/>
  <c r="E143" i="2"/>
  <c r="E146" i="2"/>
  <c r="E150" i="2"/>
  <c r="E154" i="2"/>
  <c r="E158" i="2"/>
  <c r="E162" i="2"/>
  <c r="E166" i="2"/>
  <c r="E170" i="2"/>
  <c r="E174" i="2"/>
  <c r="E178" i="2"/>
  <c r="E182" i="2"/>
  <c r="E186" i="2"/>
  <c r="E190" i="2"/>
  <c r="E194" i="2"/>
  <c r="E198" i="2"/>
  <c r="G125" i="2"/>
  <c r="F125" i="2"/>
  <c r="D125" i="2"/>
  <c r="C125" i="2"/>
  <c r="G133" i="2"/>
  <c r="F133" i="2"/>
  <c r="D133" i="2"/>
  <c r="C133" i="2"/>
  <c r="G141" i="2"/>
  <c r="F141" i="2"/>
  <c r="D141" i="2"/>
  <c r="C141" i="2"/>
  <c r="G147" i="2"/>
  <c r="F147" i="2"/>
  <c r="D147" i="2"/>
  <c r="C147" i="2"/>
  <c r="G151" i="2"/>
  <c r="F151" i="2"/>
  <c r="D151" i="2"/>
  <c r="C151" i="2"/>
  <c r="G155" i="2"/>
  <c r="F155" i="2"/>
  <c r="D155" i="2"/>
  <c r="C155" i="2"/>
  <c r="G159" i="2"/>
  <c r="F159" i="2"/>
  <c r="D159" i="2"/>
  <c r="C159" i="2"/>
  <c r="G163" i="2"/>
  <c r="F163" i="2"/>
  <c r="D163" i="2"/>
  <c r="C163" i="2"/>
  <c r="G167" i="2"/>
  <c r="F167" i="2"/>
  <c r="D167" i="2"/>
  <c r="C167" i="2"/>
  <c r="G171" i="2"/>
  <c r="F171" i="2"/>
  <c r="D171" i="2"/>
  <c r="C171" i="2"/>
  <c r="G175" i="2"/>
  <c r="F175" i="2"/>
  <c r="D175" i="2"/>
  <c r="C175" i="2"/>
  <c r="G179" i="2"/>
  <c r="F179" i="2"/>
  <c r="D179" i="2"/>
  <c r="C179" i="2"/>
  <c r="G183" i="2"/>
  <c r="F183" i="2"/>
  <c r="D183" i="2"/>
  <c r="C183" i="2"/>
  <c r="G187" i="2"/>
  <c r="F187" i="2"/>
  <c r="D187" i="2"/>
  <c r="C187" i="2"/>
  <c r="G191" i="2"/>
  <c r="F191" i="2"/>
  <c r="D191" i="2"/>
  <c r="C191" i="2"/>
  <c r="G195" i="2"/>
  <c r="F195" i="2"/>
  <c r="D195" i="2"/>
  <c r="C195" i="2"/>
  <c r="G199" i="2"/>
  <c r="F199" i="2"/>
  <c r="D199" i="2"/>
  <c r="C199" i="2"/>
  <c r="E125" i="2"/>
  <c r="G128" i="2"/>
  <c r="F128" i="2"/>
  <c r="D128" i="2"/>
  <c r="C128" i="2"/>
  <c r="E133" i="2"/>
  <c r="G136" i="2"/>
  <c r="F136" i="2"/>
  <c r="D136" i="2"/>
  <c r="C136" i="2"/>
  <c r="E141" i="2"/>
  <c r="G144" i="2"/>
  <c r="F144" i="2"/>
  <c r="D144" i="2"/>
  <c r="C144" i="2"/>
  <c r="E147" i="2"/>
  <c r="E151" i="2"/>
  <c r="E155" i="2"/>
  <c r="E159" i="2"/>
  <c r="E163" i="2"/>
  <c r="E167" i="2"/>
  <c r="E171" i="2"/>
  <c r="E175" i="2"/>
  <c r="E179" i="2"/>
  <c r="E183" i="2"/>
  <c r="E187" i="2"/>
  <c r="E191" i="2"/>
  <c r="E195" i="2"/>
  <c r="E199" i="2"/>
  <c r="C202" i="2"/>
  <c r="D202" i="2"/>
  <c r="F202" i="2"/>
  <c r="H78" i="2" l="1"/>
  <c r="I78" i="2" s="1"/>
  <c r="H62" i="2"/>
  <c r="I62" i="2" s="1"/>
  <c r="H16" i="2"/>
  <c r="I16" i="2" s="1"/>
  <c r="H24" i="2"/>
  <c r="I24" i="2" s="1"/>
  <c r="H8" i="2"/>
  <c r="I8" i="2" s="1"/>
  <c r="H102" i="2"/>
  <c r="I102" i="2" s="1"/>
  <c r="H63" i="2"/>
  <c r="I63" i="2" s="1"/>
  <c r="H14" i="2"/>
  <c r="I14" i="2" s="1"/>
  <c r="H81" i="2"/>
  <c r="I81" i="2" s="1"/>
  <c r="H65" i="2"/>
  <c r="I65" i="2" s="1"/>
  <c r="H69" i="2"/>
  <c r="I69" i="2" s="1"/>
  <c r="H180" i="2"/>
  <c r="I180" i="2" s="1"/>
  <c r="H156" i="2"/>
  <c r="I156" i="2" s="1"/>
  <c r="H131" i="2"/>
  <c r="I131" i="2" s="1"/>
  <c r="H153" i="2"/>
  <c r="I153" i="2" s="1"/>
  <c r="H39" i="2"/>
  <c r="I39" i="2" s="1"/>
  <c r="H118" i="2"/>
  <c r="I118" i="2" s="1"/>
  <c r="H70" i="2"/>
  <c r="I70" i="2" s="1"/>
  <c r="H100" i="2"/>
  <c r="I100" i="2" s="1"/>
  <c r="H68" i="2"/>
  <c r="I68" i="2" s="1"/>
  <c r="H113" i="2"/>
  <c r="I113" i="2" s="1"/>
  <c r="H188" i="2"/>
  <c r="I188" i="2" s="1"/>
  <c r="H172" i="2"/>
  <c r="I172" i="2" s="1"/>
  <c r="H148" i="2"/>
  <c r="I148" i="2" s="1"/>
  <c r="H86" i="2"/>
  <c r="I86" i="2" s="1"/>
  <c r="H95" i="2"/>
  <c r="I95" i="2" s="1"/>
  <c r="H136" i="2"/>
  <c r="I136" i="2" s="1"/>
  <c r="H134" i="2"/>
  <c r="I134" i="2" s="1"/>
  <c r="H173" i="2"/>
  <c r="I173" i="2" s="1"/>
  <c r="H165" i="2"/>
  <c r="I165" i="2" s="1"/>
  <c r="H145" i="2"/>
  <c r="I145" i="2" s="1"/>
  <c r="H19" i="2"/>
  <c r="I19" i="2" s="1"/>
  <c r="H3" i="2"/>
  <c r="H61" i="2"/>
  <c r="I61" i="2" s="1"/>
  <c r="H55" i="2"/>
  <c r="I55" i="2" s="1"/>
  <c r="H96" i="2"/>
  <c r="I96" i="2" s="1"/>
  <c r="H64" i="2"/>
  <c r="I64" i="2" s="1"/>
  <c r="H89" i="2"/>
  <c r="I89" i="2" s="1"/>
  <c r="H109" i="2"/>
  <c r="I109" i="2" s="1"/>
  <c r="H77" i="2"/>
  <c r="I77" i="2" s="1"/>
  <c r="H187" i="2"/>
  <c r="I187" i="2" s="1"/>
  <c r="H179" i="2"/>
  <c r="I179" i="2" s="1"/>
  <c r="H171" i="2"/>
  <c r="I171" i="2" s="1"/>
  <c r="H155" i="2"/>
  <c r="I155" i="2" s="1"/>
  <c r="H147" i="2"/>
  <c r="I147" i="2" s="1"/>
  <c r="H133" i="2"/>
  <c r="I133" i="2" s="1"/>
  <c r="H6" i="2"/>
  <c r="I6" i="2" s="1"/>
  <c r="H75" i="2"/>
  <c r="I75" i="2" s="1"/>
  <c r="H17" i="2"/>
  <c r="I17" i="2" s="1"/>
  <c r="H85" i="2"/>
  <c r="I85" i="2" s="1"/>
  <c r="H22" i="2"/>
  <c r="I22" i="2" s="1"/>
  <c r="H117" i="2"/>
  <c r="I117" i="2" s="1"/>
  <c r="H199" i="2"/>
  <c r="I199" i="2" s="1"/>
  <c r="H183" i="2"/>
  <c r="I183" i="2" s="1"/>
  <c r="H91" i="2"/>
  <c r="I91" i="2" s="1"/>
  <c r="H73" i="2"/>
  <c r="I73" i="2" s="1"/>
  <c r="H105" i="2"/>
  <c r="I105" i="2" s="1"/>
  <c r="H49" i="2"/>
  <c r="I49" i="2" s="1"/>
  <c r="H46" i="2"/>
  <c r="I46" i="2" s="1"/>
  <c r="H97" i="2"/>
  <c r="I97" i="2" s="1"/>
  <c r="H93" i="2"/>
  <c r="I93" i="2" s="1"/>
  <c r="H101" i="2"/>
  <c r="I101" i="2" s="1"/>
  <c r="H43" i="2"/>
  <c r="I43" i="2" s="1"/>
  <c r="H27" i="2"/>
  <c r="I27" i="2" s="1"/>
  <c r="H11" i="2"/>
  <c r="I11" i="2" s="1"/>
  <c r="H121" i="2"/>
  <c r="I121" i="2" s="1"/>
  <c r="H124" i="2"/>
  <c r="I124" i="2" s="1"/>
  <c r="H115" i="2"/>
  <c r="I115" i="2" s="1"/>
  <c r="H130" i="2"/>
  <c r="I130" i="2" s="1"/>
  <c r="H198" i="2"/>
  <c r="I198" i="2" s="1"/>
  <c r="H190" i="2"/>
  <c r="I190" i="2" s="1"/>
  <c r="H182" i="2"/>
  <c r="I182" i="2" s="1"/>
  <c r="H174" i="2"/>
  <c r="I174" i="2" s="1"/>
  <c r="H166" i="2"/>
  <c r="I166" i="2" s="1"/>
  <c r="H158" i="2"/>
  <c r="I158" i="2" s="1"/>
  <c r="H150" i="2"/>
  <c r="I150" i="2" s="1"/>
  <c r="H143" i="2"/>
  <c r="I143" i="2" s="1"/>
  <c r="H127" i="2"/>
  <c r="I127" i="2" s="1"/>
  <c r="H54" i="2"/>
  <c r="I54" i="2" s="1"/>
  <c r="H189" i="2"/>
  <c r="I189" i="2" s="1"/>
  <c r="H40" i="2"/>
  <c r="I40" i="2" s="1"/>
  <c r="H161" i="2"/>
  <c r="I161" i="2" s="1"/>
  <c r="H50" i="2"/>
  <c r="I50" i="2" s="1"/>
  <c r="H34" i="2"/>
  <c r="I34" i="2" s="1"/>
  <c r="H18" i="2"/>
  <c r="I18" i="2" s="1"/>
  <c r="H57" i="2"/>
  <c r="I57" i="2" s="1"/>
  <c r="H114" i="2"/>
  <c r="I114" i="2" s="1"/>
  <c r="H98" i="2"/>
  <c r="I98" i="2" s="1"/>
  <c r="H82" i="2"/>
  <c r="I82" i="2" s="1"/>
  <c r="H66" i="2"/>
  <c r="I66" i="2" s="1"/>
  <c r="H47" i="2"/>
  <c r="I47" i="2" s="1"/>
  <c r="H15" i="2"/>
  <c r="I15" i="2" s="1"/>
  <c r="H103" i="2"/>
  <c r="I103" i="2" s="1"/>
  <c r="H71" i="2"/>
  <c r="I71" i="2" s="1"/>
  <c r="H53" i="2"/>
  <c r="I53" i="2" s="1"/>
  <c r="H9" i="2"/>
  <c r="I9" i="2" s="1"/>
  <c r="H92" i="2"/>
  <c r="I92" i="2" s="1"/>
  <c r="H60" i="2"/>
  <c r="I60" i="2" s="1"/>
  <c r="H29" i="2"/>
  <c r="I29" i="2" s="1"/>
  <c r="H175" i="2"/>
  <c r="I175" i="2" s="1"/>
  <c r="H167" i="2"/>
  <c r="I167" i="2" s="1"/>
  <c r="H159" i="2"/>
  <c r="I159" i="2" s="1"/>
  <c r="H151" i="2"/>
  <c r="I151" i="2" s="1"/>
  <c r="H141" i="2"/>
  <c r="I141" i="2" s="1"/>
  <c r="H125" i="2"/>
  <c r="I125" i="2" s="1"/>
  <c r="H38" i="2"/>
  <c r="I38" i="2" s="1"/>
  <c r="H201" i="2"/>
  <c r="I201" i="2" s="1"/>
  <c r="H59" i="2"/>
  <c r="I59" i="2" s="1"/>
  <c r="H120" i="2"/>
  <c r="I120" i="2" s="1"/>
  <c r="H88" i="2"/>
  <c r="I88" i="2" s="1"/>
  <c r="H31" i="2"/>
  <c r="I31" i="2" s="1"/>
  <c r="H25" i="2"/>
  <c r="I25" i="2" s="1"/>
  <c r="H28" i="2"/>
  <c r="I28" i="2" s="1"/>
  <c r="H37" i="2"/>
  <c r="I37" i="2" s="1"/>
  <c r="H83" i="2"/>
  <c r="I83" i="2" s="1"/>
  <c r="H142" i="2"/>
  <c r="I142" i="2" s="1"/>
  <c r="H200" i="2"/>
  <c r="I200" i="2" s="1"/>
  <c r="H192" i="2"/>
  <c r="I192" i="2" s="1"/>
  <c r="H184" i="2"/>
  <c r="I184" i="2" s="1"/>
  <c r="H176" i="2"/>
  <c r="I176" i="2" s="1"/>
  <c r="H168" i="2"/>
  <c r="I168" i="2" s="1"/>
  <c r="H160" i="2"/>
  <c r="I160" i="2" s="1"/>
  <c r="H152" i="2"/>
  <c r="I152" i="2" s="1"/>
  <c r="H139" i="2"/>
  <c r="I139" i="2" s="1"/>
  <c r="H123" i="2"/>
  <c r="I123" i="2" s="1"/>
  <c r="H185" i="2"/>
  <c r="I185" i="2" s="1"/>
  <c r="H137" i="2"/>
  <c r="I137" i="2" s="1"/>
  <c r="H177" i="2"/>
  <c r="I177" i="2" s="1"/>
  <c r="H30" i="2"/>
  <c r="I30" i="2" s="1"/>
  <c r="H149" i="2"/>
  <c r="I149" i="2" s="1"/>
  <c r="H51" i="2"/>
  <c r="I51" i="2" s="1"/>
  <c r="H12" i="2"/>
  <c r="I12" i="2" s="1"/>
  <c r="H110" i="2"/>
  <c r="I110" i="2" s="1"/>
  <c r="H94" i="2"/>
  <c r="I94" i="2" s="1"/>
  <c r="H111" i="2"/>
  <c r="I111" i="2" s="1"/>
  <c r="H79" i="2"/>
  <c r="I79" i="2" s="1"/>
  <c r="H21" i="2"/>
  <c r="I21" i="2" s="1"/>
  <c r="H116" i="2"/>
  <c r="I116" i="2" s="1"/>
  <c r="H84" i="2"/>
  <c r="I84" i="2" s="1"/>
  <c r="H23" i="2"/>
  <c r="I23" i="2" s="1"/>
  <c r="H36" i="2"/>
  <c r="I36" i="2" s="1"/>
  <c r="H196" i="2"/>
  <c r="I196" i="2" s="1"/>
  <c r="H191" i="2"/>
  <c r="I191" i="2" s="1"/>
  <c r="H202" i="2"/>
  <c r="I202" i="2" s="1"/>
  <c r="H197" i="2"/>
  <c r="I197" i="2" s="1"/>
  <c r="H32" i="2"/>
  <c r="I32" i="2" s="1"/>
  <c r="H4" i="2"/>
  <c r="I4" i="2" s="1"/>
  <c r="H99" i="2"/>
  <c r="I99" i="2" s="1"/>
  <c r="H67" i="2"/>
  <c r="I67" i="2" s="1"/>
  <c r="H44" i="2"/>
  <c r="I44" i="2" s="1"/>
  <c r="H112" i="2"/>
  <c r="I112" i="2" s="1"/>
  <c r="H80" i="2"/>
  <c r="I80" i="2" s="1"/>
  <c r="H13" i="2"/>
  <c r="I13" i="2" s="1"/>
  <c r="H144" i="2"/>
  <c r="I144" i="2" s="1"/>
  <c r="H128" i="2"/>
  <c r="I128" i="2" s="1"/>
  <c r="H138" i="2"/>
  <c r="I138" i="2" s="1"/>
  <c r="H122" i="2"/>
  <c r="I122" i="2" s="1"/>
  <c r="H194" i="2"/>
  <c r="I194" i="2" s="1"/>
  <c r="H186" i="2"/>
  <c r="I186" i="2" s="1"/>
  <c r="H178" i="2"/>
  <c r="I178" i="2" s="1"/>
  <c r="H170" i="2"/>
  <c r="I170" i="2" s="1"/>
  <c r="H162" i="2"/>
  <c r="I162" i="2" s="1"/>
  <c r="H154" i="2"/>
  <c r="I154" i="2" s="1"/>
  <c r="H146" i="2"/>
  <c r="I146" i="2" s="1"/>
  <c r="H135" i="2"/>
  <c r="I135" i="2" s="1"/>
  <c r="H126" i="2"/>
  <c r="I126" i="2" s="1"/>
  <c r="H132" i="2"/>
  <c r="I132" i="2" s="1"/>
  <c r="H140" i="2"/>
  <c r="I140" i="2" s="1"/>
  <c r="H48" i="2"/>
  <c r="I48" i="2" s="1"/>
  <c r="H193" i="2"/>
  <c r="I193" i="2" s="1"/>
  <c r="H42" i="2"/>
  <c r="I42" i="2" s="1"/>
  <c r="H26" i="2"/>
  <c r="I26" i="2" s="1"/>
  <c r="H10" i="2"/>
  <c r="I10" i="2" s="1"/>
  <c r="H56" i="2"/>
  <c r="I56" i="2" s="1"/>
  <c r="H106" i="2"/>
  <c r="I106" i="2" s="1"/>
  <c r="H90" i="2"/>
  <c r="I90" i="2" s="1"/>
  <c r="H74" i="2"/>
  <c r="I74" i="2" s="1"/>
  <c r="H58" i="2"/>
  <c r="I58" i="2" s="1"/>
  <c r="H119" i="2"/>
  <c r="I119" i="2" s="1"/>
  <c r="H87" i="2"/>
  <c r="I87" i="2" s="1"/>
  <c r="H108" i="2"/>
  <c r="I108" i="2" s="1"/>
  <c r="H76" i="2"/>
  <c r="I76" i="2" s="1"/>
  <c r="H20" i="2"/>
  <c r="I20" i="2" s="1"/>
  <c r="H45" i="2"/>
  <c r="I45" i="2" s="1"/>
  <c r="H5" i="2"/>
  <c r="I5" i="2" s="1"/>
  <c r="H129" i="2"/>
  <c r="I129" i="2" s="1"/>
  <c r="H157" i="2"/>
  <c r="I157" i="2" s="1"/>
  <c r="H169" i="2"/>
  <c r="I169" i="2" s="1"/>
  <c r="H181" i="2"/>
  <c r="I181" i="2" s="1"/>
  <c r="H35" i="2"/>
  <c r="I35" i="2" s="1"/>
  <c r="H107" i="2"/>
  <c r="I107" i="2" s="1"/>
  <c r="H104" i="2"/>
  <c r="I104" i="2" s="1"/>
  <c r="H72" i="2"/>
  <c r="I72" i="2" s="1"/>
  <c r="H41" i="2"/>
  <c r="I41" i="2" s="1"/>
  <c r="H7" i="2"/>
  <c r="I7" i="2" s="1"/>
  <c r="H195" i="2"/>
  <c r="I195" i="2" s="1"/>
  <c r="H163" i="2"/>
  <c r="I163" i="2" s="1"/>
  <c r="H164" i="2"/>
  <c r="I164" i="2" s="1"/>
  <c r="H33" i="2"/>
  <c r="I33" i="2" s="1"/>
  <c r="H52" i="2"/>
  <c r="I52" i="2" s="1"/>
  <c r="I3" i="2"/>
  <c r="F21" i="3" l="1"/>
  <c r="F16" i="3"/>
  <c r="B6" i="3"/>
  <c r="B8" i="3"/>
  <c r="F19" i="3"/>
  <c r="B4" i="3"/>
  <c r="B7" i="3"/>
  <c r="F8" i="3"/>
  <c r="F20" i="3"/>
  <c r="F10" i="3"/>
  <c r="B9" i="3"/>
  <c r="F9" i="3"/>
  <c r="F25" i="3"/>
  <c r="F13" i="3"/>
  <c r="F7" i="3"/>
  <c r="F17" i="3"/>
  <c r="F23" i="3"/>
  <c r="B5" i="3"/>
  <c r="F22" i="3"/>
  <c r="F5" i="3"/>
  <c r="F24" i="3"/>
  <c r="F15" i="3"/>
  <c r="F14" i="3"/>
  <c r="F18" i="3"/>
  <c r="B11" i="3"/>
  <c r="F11" i="3"/>
  <c r="F12" i="3"/>
  <c r="F6" i="3"/>
  <c r="B10" i="3"/>
</calcChain>
</file>

<file path=xl/sharedStrings.xml><?xml version="1.0" encoding="utf-8"?>
<sst xmlns="http://schemas.openxmlformats.org/spreadsheetml/2006/main" count="56" uniqueCount="50">
  <si>
    <t>Simulation de Monte Carlo – Projet d'investissement (VAN sur 5 ans)</t>
  </si>
  <si>
    <t>Hypothèses principales</t>
  </si>
  <si>
    <t>Investissement initial (t=0) – montant positif</t>
  </si>
  <si>
    <t>⬅ à modifier</t>
  </si>
  <si>
    <t>Discount rate (r)</t>
  </si>
  <si>
    <t>Nombre d'itérations (Monte Carlo)</t>
  </si>
  <si>
    <t>Hypothèses de cash flows (fin d'année) – incertitude par année</t>
  </si>
  <si>
    <t>Année</t>
  </si>
  <si>
    <t>Cash flow espéré</t>
  </si>
  <si>
    <t>Volatilité (σ %)</t>
  </si>
  <si>
    <t>Écart-type (σ)</t>
  </si>
  <si>
    <t>Note</t>
  </si>
  <si>
    <t>On applique un choc commun Z (corrélé sur 5 ans)</t>
  </si>
  <si>
    <t>Idée du modèle (simple et clair)</t>
  </si>
  <si>
    <t>On tire un choc unique Z ~ N(0,1) par scénario : Z = NORM.INV(RAND(),0,1)</t>
  </si>
  <si>
    <t>Puis CF_t = MAX(0 ; CF_espéré_t × (1 + σ_t × Z))  → CFs corrélés</t>
  </si>
  <si>
    <t>Simulation Monte Carlo (recalculer: F9) – CF corrélés via un choc commun Z</t>
  </si>
  <si>
    <t>Itération</t>
  </si>
  <si>
    <t>Choc Z (N(0,1))</t>
  </si>
  <si>
    <t>CF Année 1</t>
  </si>
  <si>
    <t>CF Année 2</t>
  </si>
  <si>
    <t>CF Année 3</t>
  </si>
  <si>
    <t>CF Année 4</t>
  </si>
  <si>
    <t>CF Année 5</t>
  </si>
  <si>
    <t>VAN (NPV)</t>
  </si>
  <si>
    <t>Décision</t>
  </si>
  <si>
    <t>Résultats – VAN (NPV) simulée</t>
  </si>
  <si>
    <t>Statistiques clés (sur la colonne VAN de 2_Simulation)</t>
  </si>
  <si>
    <t>Histogramme (répartition de la VAN)</t>
  </si>
  <si>
    <t>VAN moyenne</t>
  </si>
  <si>
    <t>Borne inf.</t>
  </si>
  <si>
    <t>Borne sup.</t>
  </si>
  <si>
    <t>Fréquence</t>
  </si>
  <si>
    <t>Médiane</t>
  </si>
  <si>
    <t>Écart-type</t>
  </si>
  <si>
    <t>5e percentile (approx. via SMALL)</t>
  </si>
  <si>
    <t>95e percentile (approx. via LARGE)</t>
  </si>
  <si>
    <t>Probabilité VAN &gt; 0</t>
  </si>
  <si>
    <t>Minimum</t>
  </si>
  <si>
    <t>Maximum</t>
  </si>
  <si>
    <t>Nombre d'itérations</t>
  </si>
  <si>
    <t>Comment lire ces résultats ?</t>
  </si>
  <si>
    <t>• VAN moyenne &gt; 0 : rentable en moyenne.
• Probabilité VAN&gt;0 : % des scénarios créateurs de valeur.
• 5e percentile : approximation de la queue défavorable.
• 95e percentile : approximation de la queue favorable.</t>
  </si>
  <si>
    <t>Mode d'emploi (rapide)</t>
  </si>
  <si>
    <t>1) Onglet 1_Inputs : modifie en bleu l’investissement initial, le discount rate (10% ici), les cash flows espérés et la volatilité.</t>
  </si>
  <si>
    <t>2) Onglet 2_Simulation : chaque ligne = 1 scénario. On tire un choc commun Z = NORM.INV(RAND(),0,1) puis on perturbe tous les cash flows.</t>
  </si>
  <si>
    <t>3) Appuie sur F9 (ou Formules &gt; Calculer maintenant) pour relancer la simulation.</t>
  </si>
  <si>
    <t>4) Onglet 3_Results : lis les stats (moyenne, quantiles approx., P(VAN&gt;0)) et l’histogramme.</t>
  </si>
  <si>
    <t>Pourquoi un seul choc Z ? Modèle très simple qui crée des cash flows corrélés (bon marché → bons CF sur plusieurs années).</t>
  </si>
  <si>
    <t>Pour un modèle plus riche : utilise 1 RAND() par année (indépendant), ou ajoute un second choc (tendance).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</si>
</sst>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;[Red]\(\€#,##0\);&quot;-&quot;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0000FF"/>
      <name val="Calibri"/>
    </font>
    <font>
      <i/>
      <sz val="11"/>
      <color rgb="FF7F6000"/>
      <name val="Calibri"/>
    </font>
    <font>
      <b/>
      <sz val="11"/>
      <name val="Calibri"/>
    </font>
    <font>
      <sz val="11"/>
      <color rgb="FF0000FF"/>
      <name val="Calibri"/>
    </font>
    <font>
      <b/>
      <sz val="12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0" fontId="4" fillId="0" borderId="0" xfId="0" applyFont="1"/>
    <xf numFmtId="165" fontId="3" fillId="3" borderId="0" xfId="0" applyNumberFormat="1" applyFont="1" applyFill="1" applyAlignment="1">
      <alignment horizontal="right" vertical="center" wrapText="1"/>
    </xf>
    <xf numFmtId="1" fontId="3" fillId="3" borderId="0" xfId="0" applyNumberFormat="1" applyFont="1" applyFill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right" vertical="center" wrapText="1"/>
    </xf>
    <xf numFmtId="165" fontId="6" fillId="3" borderId="1" xfId="0" applyNumberFormat="1" applyFont="1" applyFill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0" borderId="0" xfId="0" applyFont="1"/>
    <xf numFmtId="0" fontId="5" fillId="4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Histogramme de la VAN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'3_Results'!$F$4</c:f>
              <c:strCache>
                <c:ptCount val="1"/>
                <c:pt idx="0">
                  <c:v>Fréquence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'3_Results'!$D$5:$D$25</c:f>
              <c:numCache>
                <c:formatCode>\€#\ ##0;[Red]\(\€#\ ##0\);"-"</c:formatCode>
                <c:ptCount val="21"/>
                <c:pt idx="0">
                  <c:v>-800000</c:v>
                </c:pt>
                <c:pt idx="1">
                  <c:v>-700000</c:v>
                </c:pt>
                <c:pt idx="2">
                  <c:v>-600000</c:v>
                </c:pt>
                <c:pt idx="3">
                  <c:v>-500000</c:v>
                </c:pt>
                <c:pt idx="4">
                  <c:v>-400000</c:v>
                </c:pt>
                <c:pt idx="5">
                  <c:v>-300000</c:v>
                </c:pt>
                <c:pt idx="6">
                  <c:v>-200000</c:v>
                </c:pt>
                <c:pt idx="7">
                  <c:v>-100000</c:v>
                </c:pt>
                <c:pt idx="8">
                  <c:v>0</c:v>
                </c:pt>
                <c:pt idx="9">
                  <c:v>100000</c:v>
                </c:pt>
                <c:pt idx="10">
                  <c:v>200000</c:v>
                </c:pt>
                <c:pt idx="11">
                  <c:v>300000</c:v>
                </c:pt>
                <c:pt idx="12">
                  <c:v>400000</c:v>
                </c:pt>
                <c:pt idx="13">
                  <c:v>500000</c:v>
                </c:pt>
                <c:pt idx="14">
                  <c:v>600000</c:v>
                </c:pt>
                <c:pt idx="15">
                  <c:v>700000</c:v>
                </c:pt>
                <c:pt idx="16">
                  <c:v>800000</c:v>
                </c:pt>
                <c:pt idx="17">
                  <c:v>900000</c:v>
                </c:pt>
                <c:pt idx="18">
                  <c:v>1000000</c:v>
                </c:pt>
                <c:pt idx="19">
                  <c:v>1100000</c:v>
                </c:pt>
                <c:pt idx="20">
                  <c:v>1200000</c:v>
                </c:pt>
              </c:numCache>
            </c:numRef>
          </c:cat>
          <c:val>
            <c:numRef>
              <c:f>'3_Results'!$F$5:$F$25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15</c:v>
                </c:pt>
                <c:pt idx="6">
                  <c:v>13</c:v>
                </c:pt>
                <c:pt idx="7">
                  <c:v>15</c:v>
                </c:pt>
                <c:pt idx="8">
                  <c:v>13</c:v>
                </c:pt>
                <c:pt idx="9">
                  <c:v>24</c:v>
                </c:pt>
                <c:pt idx="10">
                  <c:v>25</c:v>
                </c:pt>
                <c:pt idx="11">
                  <c:v>21</c:v>
                </c:pt>
                <c:pt idx="12">
                  <c:v>18</c:v>
                </c:pt>
                <c:pt idx="13">
                  <c:v>15</c:v>
                </c:pt>
                <c:pt idx="14">
                  <c:v>10</c:v>
                </c:pt>
                <c:pt idx="15">
                  <c:v>8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0-4B81-B362-A0DA64F89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Borne inf. (bin)</a:t>
                </a:r>
              </a:p>
            </c:rich>
          </c:tx>
          <c:overlay val="1"/>
        </c:title>
        <c:numFmt formatCode="\€#\ ##0;[Red]\(\€#\ ##0\);&quot;-&quot;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Fréquence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25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Table" displayName="SimTable" ref="A2:I202">
  <autoFilter ref="A2:I202" xr:uid="{00000000-0009-0000-0100-000001000000}"/>
  <tableColumns count="9">
    <tableColumn id="1" xr3:uid="{00000000-0010-0000-0000-000001000000}" name="Itération"/>
    <tableColumn id="2" xr3:uid="{00000000-0010-0000-0000-000002000000}" name="Choc Z (N(0,1))"/>
    <tableColumn id="3" xr3:uid="{00000000-0010-0000-0000-000003000000}" name="CF Année 1"/>
    <tableColumn id="4" xr3:uid="{00000000-0010-0000-0000-000004000000}" name="CF Année 2"/>
    <tableColumn id="5" xr3:uid="{00000000-0010-0000-0000-000005000000}" name="CF Année 3"/>
    <tableColumn id="6" xr3:uid="{00000000-0010-0000-0000-000006000000}" name="CF Année 4"/>
    <tableColumn id="7" xr3:uid="{00000000-0010-0000-0000-000007000000}" name="CF Année 5"/>
    <tableColumn id="8" xr3:uid="{00000000-0010-0000-0000-000008000000}" name="VAN (NPV)"/>
    <tableColumn id="9" xr3:uid="{00000000-0010-0000-0000-000009000000}" name="Déc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workbookViewId="0">
      <selection activeCell="B14" sqref="B14"/>
    </sheetView>
  </sheetViews>
  <sheetFormatPr baseColWidth="10" defaultColWidth="8.88671875" defaultRowHeight="14.4" x14ac:dyDescent="0.3"/>
  <cols>
    <col min="1" max="1" width="10" customWidth="1"/>
    <col min="2" max="2" width="22" customWidth="1"/>
    <col min="3" max="4" width="18" customWidth="1"/>
    <col min="5" max="5" width="42" customWidth="1"/>
  </cols>
  <sheetData>
    <row r="1" spans="1:5" ht="24" customHeight="1" x14ac:dyDescent="0.35">
      <c r="A1" s="25" t="s">
        <v>0</v>
      </c>
      <c r="B1" s="24"/>
      <c r="C1" s="24"/>
      <c r="D1" s="24"/>
      <c r="E1" s="24"/>
    </row>
    <row r="3" spans="1:5" x14ac:dyDescent="0.3">
      <c r="A3" s="23" t="s">
        <v>1</v>
      </c>
      <c r="B3" s="24"/>
      <c r="C3" s="24"/>
      <c r="D3" s="24"/>
      <c r="E3" s="24"/>
    </row>
    <row r="4" spans="1:5" ht="72" x14ac:dyDescent="0.3">
      <c r="A4" s="1" t="s">
        <v>2</v>
      </c>
      <c r="B4" s="2">
        <v>1000000</v>
      </c>
      <c r="C4" s="3" t="s">
        <v>3</v>
      </c>
    </row>
    <row r="5" spans="1:5" ht="28.8" x14ac:dyDescent="0.3">
      <c r="A5" s="1" t="s">
        <v>4</v>
      </c>
      <c r="B5" s="4">
        <v>0.12</v>
      </c>
      <c r="C5" s="3" t="s">
        <v>3</v>
      </c>
    </row>
    <row r="6" spans="1:5" ht="57.6" x14ac:dyDescent="0.3">
      <c r="A6" s="1" t="s">
        <v>5</v>
      </c>
      <c r="B6" s="5">
        <v>250</v>
      </c>
      <c r="C6" s="3" t="s">
        <v>3</v>
      </c>
    </row>
    <row r="8" spans="1:5" x14ac:dyDescent="0.3">
      <c r="A8" s="23" t="s">
        <v>6</v>
      </c>
      <c r="B8" s="24"/>
      <c r="C8" s="24"/>
      <c r="D8" s="24"/>
      <c r="E8" s="24"/>
    </row>
    <row r="9" spans="1:5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 x14ac:dyDescent="0.3">
      <c r="A10" s="7">
        <v>1</v>
      </c>
      <c r="B10" s="8">
        <v>250000</v>
      </c>
      <c r="C10" s="9">
        <v>0.8</v>
      </c>
      <c r="D10" s="10">
        <f>B10*C10</f>
        <v>200000</v>
      </c>
      <c r="E10" s="11" t="s">
        <v>12</v>
      </c>
    </row>
    <row r="11" spans="1:5" x14ac:dyDescent="0.3">
      <c r="A11" s="7">
        <v>2</v>
      </c>
      <c r="B11" s="8">
        <v>300000</v>
      </c>
      <c r="C11" s="9">
        <v>0.2</v>
      </c>
      <c r="D11" s="10">
        <f>B11*C11</f>
        <v>60000</v>
      </c>
      <c r="E11" s="11" t="s">
        <v>12</v>
      </c>
    </row>
    <row r="12" spans="1:5" x14ac:dyDescent="0.3">
      <c r="A12" s="7">
        <v>3</v>
      </c>
      <c r="B12" s="8">
        <v>350000</v>
      </c>
      <c r="C12" s="9">
        <v>0.18</v>
      </c>
      <c r="D12" s="10">
        <f>B12*C12</f>
        <v>63000</v>
      </c>
      <c r="E12" s="11" t="s">
        <v>12</v>
      </c>
    </row>
    <row r="13" spans="1:5" x14ac:dyDescent="0.3">
      <c r="A13" s="7">
        <v>4</v>
      </c>
      <c r="B13" s="8">
        <v>400000</v>
      </c>
      <c r="C13" s="9">
        <v>0.18</v>
      </c>
      <c r="D13" s="10">
        <f>B13*C13</f>
        <v>72000</v>
      </c>
      <c r="E13" s="11" t="s">
        <v>12</v>
      </c>
    </row>
    <row r="14" spans="1:5" x14ac:dyDescent="0.3">
      <c r="A14" s="7">
        <v>5</v>
      </c>
      <c r="B14" s="8">
        <v>450000</v>
      </c>
      <c r="C14" s="9">
        <v>0.25</v>
      </c>
      <c r="D14" s="10">
        <f>B14*C14</f>
        <v>112500</v>
      </c>
      <c r="E14" s="11" t="s">
        <v>12</v>
      </c>
    </row>
    <row r="16" spans="1:5" x14ac:dyDescent="0.3">
      <c r="A16" s="12" t="s">
        <v>13</v>
      </c>
    </row>
    <row r="17" spans="1:1" ht="129.6" x14ac:dyDescent="0.3">
      <c r="A17" s="1" t="s">
        <v>14</v>
      </c>
    </row>
    <row r="18" spans="1:1" ht="100.8" x14ac:dyDescent="0.3">
      <c r="A18" s="1" t="s">
        <v>15</v>
      </c>
    </row>
  </sheetData>
  <mergeCells count="3">
    <mergeCell ref="A8:E8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2"/>
  <sheetViews>
    <sheetView showGridLines="0" workbookViewId="0">
      <pane ySplit="2" topLeftCell="A23" activePane="bottomLeft" state="frozen"/>
      <selection pane="bottomLeft" activeCell="B25" sqref="B25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8" width="16" customWidth="1"/>
    <col min="9" max="9" width="12" customWidth="1"/>
  </cols>
  <sheetData>
    <row r="1" spans="1:9" ht="15.6" x14ac:dyDescent="0.3">
      <c r="A1" s="26" t="s">
        <v>16</v>
      </c>
      <c r="B1" s="24"/>
      <c r="C1" s="24"/>
      <c r="D1" s="24"/>
      <c r="E1" s="24"/>
      <c r="F1" s="24"/>
      <c r="G1" s="24"/>
      <c r="H1" s="24"/>
      <c r="I1" s="24"/>
    </row>
    <row r="2" spans="1:9" x14ac:dyDescent="0.3">
      <c r="A2" s="13" t="s">
        <v>17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</row>
    <row r="3" spans="1:9" x14ac:dyDescent="0.3">
      <c r="A3" s="14">
        <v>1</v>
      </c>
      <c r="B3" s="15">
        <f ca="1">NORMINV(RAND(),0,1)</f>
        <v>-1.3784188091131198</v>
      </c>
      <c r="C3" s="16">
        <f ca="1">MAX(0,'1_Inputs'!$B$10*(1+'1_Inputs'!$C$10*$B3))</f>
        <v>0</v>
      </c>
      <c r="D3" s="16">
        <f ca="1">MAX(0,'1_Inputs'!$B$11*(1+'1_Inputs'!$C$11*$B3))</f>
        <v>217294.87145321281</v>
      </c>
      <c r="E3" s="16">
        <f ca="1">MAX(0,'1_Inputs'!$B$12*(1+'1_Inputs'!$C$12*$B3))</f>
        <v>263159.61502587347</v>
      </c>
      <c r="F3" s="16">
        <f ca="1">MAX(0,'1_Inputs'!$B$13*(1+'1_Inputs'!$C$13*$B3))</f>
        <v>300753.8457438554</v>
      </c>
      <c r="G3" s="16">
        <f ca="1">MAX(0,'1_Inputs'!$B$14*(1+'1_Inputs'!$C$14*$B3))</f>
        <v>294927.88397477404</v>
      </c>
      <c r="H3" s="16">
        <f ca="1">NPV('1_Inputs'!$B$5,C3:G3)-'1_Inputs'!$B$4</f>
        <v>-280977.53486912104</v>
      </c>
      <c r="I3" s="14" t="str">
        <f t="shared" ref="I3:I34" ca="1" si="0">IF(H3&gt;0,"VAN&gt;0","VAN&lt;0")</f>
        <v>VAN&lt;0</v>
      </c>
    </row>
    <row r="4" spans="1:9" x14ac:dyDescent="0.3">
      <c r="A4" s="14">
        <v>2</v>
      </c>
      <c r="B4" s="15">
        <f t="shared" ref="B4:B67" ca="1" si="1">NORMINV(RAND(),0,1)</f>
        <v>0.22777811192355088</v>
      </c>
      <c r="C4" s="16">
        <f ca="1">MAX(0,'1_Inputs'!$B$10*(1+'1_Inputs'!$C$10*$B4))</f>
        <v>295555.62238471018</v>
      </c>
      <c r="D4" s="16">
        <f ca="1">MAX(0,'1_Inputs'!$B$11*(1+'1_Inputs'!$C$11*$B4))</f>
        <v>313666.68671541306</v>
      </c>
      <c r="E4" s="16">
        <f ca="1">MAX(0,'1_Inputs'!$B$12*(1+'1_Inputs'!$C$12*$B4))</f>
        <v>364350.02105118375</v>
      </c>
      <c r="F4" s="16">
        <f ca="1">MAX(0,'1_Inputs'!$B$13*(1+'1_Inputs'!$C$13*$B4))</f>
        <v>416400.02405849571</v>
      </c>
      <c r="G4" s="16">
        <f ca="1">MAX(0,'1_Inputs'!$B$14*(1+'1_Inputs'!$C$14*$B4))</f>
        <v>475625.03759139951</v>
      </c>
      <c r="H4" s="16">
        <f ca="1">NPV('1_Inputs'!$B$5,C4:G4)-'1_Inputs'!$B$4</f>
        <v>307791.42179256002</v>
      </c>
      <c r="I4" s="14" t="str">
        <f t="shared" ca="1" si="0"/>
        <v>VAN&gt;0</v>
      </c>
    </row>
    <row r="5" spans="1:9" x14ac:dyDescent="0.3">
      <c r="A5" s="14">
        <v>3</v>
      </c>
      <c r="B5" s="15">
        <f t="shared" ca="1" si="1"/>
        <v>0.85141618242006867</v>
      </c>
      <c r="C5" s="16">
        <f ca="1">MAX(0,'1_Inputs'!$B$10*(1+'1_Inputs'!$C$10*$B5))</f>
        <v>420283.23648401379</v>
      </c>
      <c r="D5" s="16">
        <f ca="1">MAX(0,'1_Inputs'!$B$11*(1+'1_Inputs'!$C$11*$B5))</f>
        <v>351084.97094520408</v>
      </c>
      <c r="E5" s="16">
        <f ca="1">MAX(0,'1_Inputs'!$B$12*(1+'1_Inputs'!$C$12*$B5))</f>
        <v>403639.21949246433</v>
      </c>
      <c r="F5" s="16">
        <f ca="1">MAX(0,'1_Inputs'!$B$13*(1+'1_Inputs'!$C$13*$B5))</f>
        <v>461301.96513424499</v>
      </c>
      <c r="G5" s="16">
        <f ca="1">MAX(0,'1_Inputs'!$B$14*(1+'1_Inputs'!$C$14*$B5))</f>
        <v>545784.32052225771</v>
      </c>
      <c r="H5" s="16">
        <f ca="1">NPV('1_Inputs'!$B$5,C5:G5)-'1_Inputs'!$B$4</f>
        <v>545296.52207406634</v>
      </c>
      <c r="I5" s="14" t="str">
        <f t="shared" ca="1" si="0"/>
        <v>VAN&gt;0</v>
      </c>
    </row>
    <row r="6" spans="1:9" x14ac:dyDescent="0.3">
      <c r="A6" s="14">
        <v>4</v>
      </c>
      <c r="B6" s="15">
        <f t="shared" ca="1" si="1"/>
        <v>2.0330826104138793</v>
      </c>
      <c r="C6" s="16">
        <f ca="1">MAX(0,'1_Inputs'!$B$10*(1+'1_Inputs'!$C$10*$B6))</f>
        <v>656616.52208277583</v>
      </c>
      <c r="D6" s="16">
        <f ca="1">MAX(0,'1_Inputs'!$B$11*(1+'1_Inputs'!$C$11*$B6))</f>
        <v>421984.9566248327</v>
      </c>
      <c r="E6" s="16">
        <f ca="1">MAX(0,'1_Inputs'!$B$12*(1+'1_Inputs'!$C$12*$B6))</f>
        <v>478084.2044560744</v>
      </c>
      <c r="F6" s="16">
        <f ca="1">MAX(0,'1_Inputs'!$B$13*(1+'1_Inputs'!$C$13*$B6))</f>
        <v>546381.94794979936</v>
      </c>
      <c r="G6" s="16">
        <f ca="1">MAX(0,'1_Inputs'!$B$14*(1+'1_Inputs'!$C$14*$B6))</f>
        <v>678721.79367156152</v>
      </c>
      <c r="H6" s="16">
        <f ca="1">NPV('1_Inputs'!$B$5,C6:G6)-'1_Inputs'!$B$4</f>
        <v>995320.04814987956</v>
      </c>
      <c r="I6" s="14" t="str">
        <f t="shared" ca="1" si="0"/>
        <v>VAN&gt;0</v>
      </c>
    </row>
    <row r="7" spans="1:9" x14ac:dyDescent="0.3">
      <c r="A7" s="14">
        <v>5</v>
      </c>
      <c r="B7" s="15">
        <f t="shared" ca="1" si="1"/>
        <v>-4.0398444933558583E-2</v>
      </c>
      <c r="C7" s="16">
        <f ca="1">MAX(0,'1_Inputs'!$B$10*(1+'1_Inputs'!$C$10*$B7))</f>
        <v>241920.31101328827</v>
      </c>
      <c r="D7" s="16">
        <f ca="1">MAX(0,'1_Inputs'!$B$11*(1+'1_Inputs'!$C$11*$B7))</f>
        <v>297576.09330398648</v>
      </c>
      <c r="E7" s="16">
        <f ca="1">MAX(0,'1_Inputs'!$B$12*(1+'1_Inputs'!$C$12*$B7))</f>
        <v>347454.89796918578</v>
      </c>
      <c r="F7" s="16">
        <f ca="1">MAX(0,'1_Inputs'!$B$13*(1+'1_Inputs'!$C$13*$B7))</f>
        <v>397091.31196478376</v>
      </c>
      <c r="G7" s="16">
        <f ca="1">MAX(0,'1_Inputs'!$B$14*(1+'1_Inputs'!$C$14*$B7))</f>
        <v>445455.17494497466</v>
      </c>
      <c r="H7" s="16">
        <f ca="1">NPV('1_Inputs'!$B$5,C7:G7)-'1_Inputs'!$B$4</f>
        <v>205659.58757213387</v>
      </c>
      <c r="I7" s="14" t="str">
        <f t="shared" ca="1" si="0"/>
        <v>VAN&gt;0</v>
      </c>
    </row>
    <row r="8" spans="1:9" x14ac:dyDescent="0.3">
      <c r="A8" s="14">
        <v>6</v>
      </c>
      <c r="B8" s="15">
        <f t="shared" ca="1" si="1"/>
        <v>0.94224953938514999</v>
      </c>
      <c r="C8" s="16">
        <f ca="1">MAX(0,'1_Inputs'!$B$10*(1+'1_Inputs'!$C$10*$B8))</f>
        <v>438449.90787702997</v>
      </c>
      <c r="D8" s="16">
        <f ca="1">MAX(0,'1_Inputs'!$B$11*(1+'1_Inputs'!$C$11*$B8))</f>
        <v>356534.972363109</v>
      </c>
      <c r="E8" s="16">
        <f ca="1">MAX(0,'1_Inputs'!$B$12*(1+'1_Inputs'!$C$12*$B8))</f>
        <v>409361.72098126443</v>
      </c>
      <c r="F8" s="16">
        <f ca="1">MAX(0,'1_Inputs'!$B$13*(1+'1_Inputs'!$C$13*$B8))</f>
        <v>467841.96683573083</v>
      </c>
      <c r="G8" s="16">
        <f ca="1">MAX(0,'1_Inputs'!$B$14*(1+'1_Inputs'!$C$14*$B8))</f>
        <v>556003.07318082941</v>
      </c>
      <c r="H8" s="16">
        <f ca="1">NPV('1_Inputs'!$B$5,C8:G8)-'1_Inputs'!$B$4</f>
        <v>579889.31968458043</v>
      </c>
      <c r="I8" s="14" t="str">
        <f t="shared" ca="1" si="0"/>
        <v>VAN&gt;0</v>
      </c>
    </row>
    <row r="9" spans="1:9" x14ac:dyDescent="0.3">
      <c r="A9" s="14">
        <v>7</v>
      </c>
      <c r="B9" s="15">
        <f t="shared" ca="1" si="1"/>
        <v>1.5657596421095767</v>
      </c>
      <c r="C9" s="16">
        <f ca="1">MAX(0,'1_Inputs'!$B$10*(1+'1_Inputs'!$C$10*$B9))</f>
        <v>563151.92842191528</v>
      </c>
      <c r="D9" s="16">
        <f ca="1">MAX(0,'1_Inputs'!$B$11*(1+'1_Inputs'!$C$11*$B9))</f>
        <v>393945.57852657459</v>
      </c>
      <c r="E9" s="16">
        <f ca="1">MAX(0,'1_Inputs'!$B$12*(1+'1_Inputs'!$C$12*$B9))</f>
        <v>448642.85745290329</v>
      </c>
      <c r="F9" s="16">
        <f ca="1">MAX(0,'1_Inputs'!$B$13*(1+'1_Inputs'!$C$13*$B9))</f>
        <v>512734.6942318895</v>
      </c>
      <c r="G9" s="16">
        <f ca="1">MAX(0,'1_Inputs'!$B$14*(1+'1_Inputs'!$C$14*$B9))</f>
        <v>626147.95973732742</v>
      </c>
      <c r="H9" s="16">
        <f ca="1">NPV('1_Inputs'!$B$5,C9:G9)-'1_Inputs'!$B$4</f>
        <v>817345.6849706124</v>
      </c>
      <c r="I9" s="14" t="str">
        <f t="shared" ca="1" si="0"/>
        <v>VAN&gt;0</v>
      </c>
    </row>
    <row r="10" spans="1:9" x14ac:dyDescent="0.3">
      <c r="A10" s="14">
        <v>8</v>
      </c>
      <c r="B10" s="15">
        <f t="shared" ca="1" si="1"/>
        <v>0.11474180365183358</v>
      </c>
      <c r="C10" s="16">
        <f ca="1">MAX(0,'1_Inputs'!$B$10*(1+'1_Inputs'!$C$10*$B10))</f>
        <v>272948.36073036672</v>
      </c>
      <c r="D10" s="16">
        <f ca="1">MAX(0,'1_Inputs'!$B$11*(1+'1_Inputs'!$C$11*$B10))</f>
        <v>306884.50821911002</v>
      </c>
      <c r="E10" s="16">
        <f ca="1">MAX(0,'1_Inputs'!$B$12*(1+'1_Inputs'!$C$12*$B10))</f>
        <v>357228.73363006552</v>
      </c>
      <c r="F10" s="16">
        <f ca="1">MAX(0,'1_Inputs'!$B$13*(1+'1_Inputs'!$C$13*$B10))</f>
        <v>408261.40986293205</v>
      </c>
      <c r="G10" s="16">
        <f ca="1">MAX(0,'1_Inputs'!$B$14*(1+'1_Inputs'!$C$14*$B10))</f>
        <v>462908.45291083126</v>
      </c>
      <c r="H10" s="16">
        <f ca="1">NPV('1_Inputs'!$B$5,C10:G10)-'1_Inputs'!$B$4</f>
        <v>264742.89572975715</v>
      </c>
      <c r="I10" s="14" t="str">
        <f t="shared" ca="1" si="0"/>
        <v>VAN&gt;0</v>
      </c>
    </row>
    <row r="11" spans="1:9" x14ac:dyDescent="0.3">
      <c r="A11" s="14">
        <v>9</v>
      </c>
      <c r="B11" s="15">
        <f t="shared" ca="1" si="1"/>
        <v>-1.2815954788076154</v>
      </c>
      <c r="C11" s="16">
        <f ca="1">MAX(0,'1_Inputs'!$B$10*(1+'1_Inputs'!$C$10*$B11))</f>
        <v>0</v>
      </c>
      <c r="D11" s="16">
        <f ca="1">MAX(0,'1_Inputs'!$B$11*(1+'1_Inputs'!$C$11*$B11))</f>
        <v>223104.27127154305</v>
      </c>
      <c r="E11" s="16">
        <f ca="1">MAX(0,'1_Inputs'!$B$12*(1+'1_Inputs'!$C$12*$B11))</f>
        <v>269259.48483512021</v>
      </c>
      <c r="F11" s="16">
        <f ca="1">MAX(0,'1_Inputs'!$B$13*(1+'1_Inputs'!$C$13*$B11))</f>
        <v>307725.12552585168</v>
      </c>
      <c r="G11" s="16">
        <f ca="1">MAX(0,'1_Inputs'!$B$14*(1+'1_Inputs'!$C$14*$B11))</f>
        <v>305820.50863414328</v>
      </c>
      <c r="H11" s="16">
        <f ca="1">NPV('1_Inputs'!$B$5,C11:G11)-'1_Inputs'!$B$4</f>
        <v>-261393.40796518128</v>
      </c>
      <c r="I11" s="14" t="str">
        <f t="shared" ca="1" si="0"/>
        <v>VAN&lt;0</v>
      </c>
    </row>
    <row r="12" spans="1:9" x14ac:dyDescent="0.3">
      <c r="A12" s="14">
        <v>10</v>
      </c>
      <c r="B12" s="15">
        <f t="shared" ca="1" si="1"/>
        <v>0.44826388299413367</v>
      </c>
      <c r="C12" s="16">
        <f ca="1">MAX(0,'1_Inputs'!$B$10*(1+'1_Inputs'!$C$10*$B12))</f>
        <v>339652.77659882675</v>
      </c>
      <c r="D12" s="16">
        <f ca="1">MAX(0,'1_Inputs'!$B$11*(1+'1_Inputs'!$C$11*$B12))</f>
        <v>326895.83297964797</v>
      </c>
      <c r="E12" s="16">
        <f ca="1">MAX(0,'1_Inputs'!$B$12*(1+'1_Inputs'!$C$12*$B12))</f>
        <v>378240.62462863047</v>
      </c>
      <c r="F12" s="16">
        <f ca="1">MAX(0,'1_Inputs'!$B$13*(1+'1_Inputs'!$C$13*$B12))</f>
        <v>432274.99957557762</v>
      </c>
      <c r="G12" s="16">
        <f ca="1">MAX(0,'1_Inputs'!$B$14*(1+'1_Inputs'!$C$14*$B12))</f>
        <v>500429.68683684006</v>
      </c>
      <c r="H12" s="16">
        <f ca="1">NPV('1_Inputs'!$B$5,C12:G12)-'1_Inputs'!$B$4</f>
        <v>391760.79063989781</v>
      </c>
      <c r="I12" s="14" t="str">
        <f t="shared" ca="1" si="0"/>
        <v>VAN&gt;0</v>
      </c>
    </row>
    <row r="13" spans="1:9" x14ac:dyDescent="0.3">
      <c r="A13" s="14">
        <v>11</v>
      </c>
      <c r="B13" s="15">
        <f t="shared" ca="1" si="1"/>
        <v>-0.41441900592135428</v>
      </c>
      <c r="C13" s="16">
        <f ca="1">MAX(0,'1_Inputs'!$B$10*(1+'1_Inputs'!$C$10*$B13))</f>
        <v>167116.19881572915</v>
      </c>
      <c r="D13" s="16">
        <f ca="1">MAX(0,'1_Inputs'!$B$11*(1+'1_Inputs'!$C$11*$B13))</f>
        <v>275134.85964471876</v>
      </c>
      <c r="E13" s="16">
        <f ca="1">MAX(0,'1_Inputs'!$B$12*(1+'1_Inputs'!$C$12*$B13))</f>
        <v>323891.60262695467</v>
      </c>
      <c r="F13" s="16">
        <f ca="1">MAX(0,'1_Inputs'!$B$13*(1+'1_Inputs'!$C$13*$B13))</f>
        <v>370161.83157366252</v>
      </c>
      <c r="G13" s="16">
        <f ca="1">MAX(0,'1_Inputs'!$B$14*(1+'1_Inputs'!$C$14*$B13))</f>
        <v>403377.86183384765</v>
      </c>
      <c r="H13" s="16">
        <f ca="1">NPV('1_Inputs'!$B$5,C13:G13)-'1_Inputs'!$B$4</f>
        <v>63218.33029926219</v>
      </c>
      <c r="I13" s="14" t="str">
        <f t="shared" ca="1" si="0"/>
        <v>VAN&gt;0</v>
      </c>
    </row>
    <row r="14" spans="1:9" x14ac:dyDescent="0.3">
      <c r="A14" s="14">
        <v>12</v>
      </c>
      <c r="B14" s="15">
        <f t="shared" ca="1" si="1"/>
        <v>-0.3165859671026422</v>
      </c>
      <c r="C14" s="16">
        <f ca="1">MAX(0,'1_Inputs'!$B$10*(1+'1_Inputs'!$C$10*$B14))</f>
        <v>186682.80657947157</v>
      </c>
      <c r="D14" s="16">
        <f ca="1">MAX(0,'1_Inputs'!$B$11*(1+'1_Inputs'!$C$11*$B14))</f>
        <v>281004.84197384148</v>
      </c>
      <c r="E14" s="16">
        <f ca="1">MAX(0,'1_Inputs'!$B$12*(1+'1_Inputs'!$C$12*$B14))</f>
        <v>330055.08407253353</v>
      </c>
      <c r="F14" s="16">
        <f ca="1">MAX(0,'1_Inputs'!$B$13*(1+'1_Inputs'!$C$13*$B14))</f>
        <v>377205.81036860973</v>
      </c>
      <c r="G14" s="16">
        <f ca="1">MAX(0,'1_Inputs'!$B$14*(1+'1_Inputs'!$C$14*$B14))</f>
        <v>414384.07870095276</v>
      </c>
      <c r="H14" s="16">
        <f ca="1">NPV('1_Inputs'!$B$5,C14:G14)-'1_Inputs'!$B$4</f>
        <v>100476.87302578823</v>
      </c>
      <c r="I14" s="14" t="str">
        <f t="shared" ca="1" si="0"/>
        <v>VAN&gt;0</v>
      </c>
    </row>
    <row r="15" spans="1:9" x14ac:dyDescent="0.3">
      <c r="A15" s="14">
        <v>13</v>
      </c>
      <c r="B15" s="15">
        <f t="shared" ca="1" si="1"/>
        <v>-7.1689945540160976E-2</v>
      </c>
      <c r="C15" s="16">
        <f ca="1">MAX(0,'1_Inputs'!$B$10*(1+'1_Inputs'!$C$10*$B15))</f>
        <v>235662.0108919678</v>
      </c>
      <c r="D15" s="16">
        <f ca="1">MAX(0,'1_Inputs'!$B$11*(1+'1_Inputs'!$C$11*$B15))</f>
        <v>295698.60326759034</v>
      </c>
      <c r="E15" s="16">
        <f ca="1">MAX(0,'1_Inputs'!$B$12*(1+'1_Inputs'!$C$12*$B15))</f>
        <v>345483.53343096987</v>
      </c>
      <c r="F15" s="16">
        <f ca="1">MAX(0,'1_Inputs'!$B$13*(1+'1_Inputs'!$C$13*$B15))</f>
        <v>394838.32392110839</v>
      </c>
      <c r="G15" s="16">
        <f ca="1">MAX(0,'1_Inputs'!$B$14*(1+'1_Inputs'!$C$14*$B15))</f>
        <v>441934.88112673187</v>
      </c>
      <c r="H15" s="16">
        <f ca="1">NPV('1_Inputs'!$B$5,C15:G15)-'1_Inputs'!$B$4</f>
        <v>193742.59382027225</v>
      </c>
      <c r="I15" s="14" t="str">
        <f t="shared" ca="1" si="0"/>
        <v>VAN&gt;0</v>
      </c>
    </row>
    <row r="16" spans="1:9" x14ac:dyDescent="0.3">
      <c r="A16" s="14">
        <v>14</v>
      </c>
      <c r="B16" s="15">
        <f t="shared" ca="1" si="1"/>
        <v>0.71649974805466921</v>
      </c>
      <c r="C16" s="16">
        <f ca="1">MAX(0,'1_Inputs'!$B$10*(1+'1_Inputs'!$C$10*$B16))</f>
        <v>393299.94961093384</v>
      </c>
      <c r="D16" s="16">
        <f ca="1">MAX(0,'1_Inputs'!$B$11*(1+'1_Inputs'!$C$11*$B16))</f>
        <v>342989.98488328012</v>
      </c>
      <c r="E16" s="16">
        <f ca="1">MAX(0,'1_Inputs'!$B$12*(1+'1_Inputs'!$C$12*$B16))</f>
        <v>395139.48412744416</v>
      </c>
      <c r="F16" s="16">
        <f ca="1">MAX(0,'1_Inputs'!$B$13*(1+'1_Inputs'!$C$13*$B16))</f>
        <v>451587.98185993615</v>
      </c>
      <c r="G16" s="16">
        <f ca="1">MAX(0,'1_Inputs'!$B$14*(1+'1_Inputs'!$C$14*$B16))</f>
        <v>530606.2216561503</v>
      </c>
      <c r="H16" s="16">
        <f ca="1">NPV('1_Inputs'!$B$5,C16:G16)-'1_Inputs'!$B$4</f>
        <v>493915.21168025793</v>
      </c>
      <c r="I16" s="14" t="str">
        <f t="shared" ca="1" si="0"/>
        <v>VAN&gt;0</v>
      </c>
    </row>
    <row r="17" spans="1:9" x14ac:dyDescent="0.3">
      <c r="A17" s="14">
        <v>15</v>
      </c>
      <c r="B17" s="15">
        <f t="shared" ca="1" si="1"/>
        <v>0.35489396192442396</v>
      </c>
      <c r="C17" s="16">
        <f ca="1">MAX(0,'1_Inputs'!$B$10*(1+'1_Inputs'!$C$10*$B17))</f>
        <v>320978.79238488479</v>
      </c>
      <c r="D17" s="16">
        <f ca="1">MAX(0,'1_Inputs'!$B$11*(1+'1_Inputs'!$C$11*$B17))</f>
        <v>321293.63771546545</v>
      </c>
      <c r="E17" s="16">
        <f ca="1">MAX(0,'1_Inputs'!$B$12*(1+'1_Inputs'!$C$12*$B17))</f>
        <v>372358.31960123865</v>
      </c>
      <c r="F17" s="16">
        <f ca="1">MAX(0,'1_Inputs'!$B$13*(1+'1_Inputs'!$C$13*$B17))</f>
        <v>425552.36525855848</v>
      </c>
      <c r="G17" s="16">
        <f ca="1">MAX(0,'1_Inputs'!$B$14*(1+'1_Inputs'!$C$14*$B17))</f>
        <v>489925.57071649772</v>
      </c>
      <c r="H17" s="16">
        <f ca="1">NPV('1_Inputs'!$B$5,C17:G17)-'1_Inputs'!$B$4</f>
        <v>356201.97292807605</v>
      </c>
      <c r="I17" s="14" t="str">
        <f t="shared" ca="1" si="0"/>
        <v>VAN&gt;0</v>
      </c>
    </row>
    <row r="18" spans="1:9" x14ac:dyDescent="0.3">
      <c r="A18" s="14">
        <v>16</v>
      </c>
      <c r="B18" s="15">
        <f t="shared" ca="1" si="1"/>
        <v>2.5175538719613493</v>
      </c>
      <c r="C18" s="16">
        <f ca="1">MAX(0,'1_Inputs'!$B$10*(1+'1_Inputs'!$C$10*$B18))</f>
        <v>753510.7743922699</v>
      </c>
      <c r="D18" s="16">
        <f ca="1">MAX(0,'1_Inputs'!$B$11*(1+'1_Inputs'!$C$11*$B18))</f>
        <v>451053.23231768096</v>
      </c>
      <c r="E18" s="16">
        <f ca="1">MAX(0,'1_Inputs'!$B$12*(1+'1_Inputs'!$C$12*$B18))</f>
        <v>508605.89393356501</v>
      </c>
      <c r="F18" s="16">
        <f ca="1">MAX(0,'1_Inputs'!$B$13*(1+'1_Inputs'!$C$13*$B18))</f>
        <v>581263.87878121715</v>
      </c>
      <c r="G18" s="16">
        <f ca="1">MAX(0,'1_Inputs'!$B$14*(1+'1_Inputs'!$C$14*$B18))</f>
        <v>733224.81059565174</v>
      </c>
      <c r="H18" s="16">
        <f ca="1">NPV('1_Inputs'!$B$5,C18:G18)-'1_Inputs'!$B$4</f>
        <v>1179825.1337129367</v>
      </c>
      <c r="I18" s="14" t="str">
        <f t="shared" ca="1" si="0"/>
        <v>VAN&gt;0</v>
      </c>
    </row>
    <row r="19" spans="1:9" x14ac:dyDescent="0.3">
      <c r="A19" s="14">
        <v>17</v>
      </c>
      <c r="B19" s="15">
        <f t="shared" ca="1" si="1"/>
        <v>-2.7540045728335856</v>
      </c>
      <c r="C19" s="16">
        <f ca="1">MAX(0,'1_Inputs'!$B$10*(1+'1_Inputs'!$C$10*$B19))</f>
        <v>0</v>
      </c>
      <c r="D19" s="16">
        <f ca="1">MAX(0,'1_Inputs'!$B$11*(1+'1_Inputs'!$C$11*$B19))</f>
        <v>134759.72562998487</v>
      </c>
      <c r="E19" s="16">
        <f ca="1">MAX(0,'1_Inputs'!$B$12*(1+'1_Inputs'!$C$12*$B19))</f>
        <v>176497.7119114841</v>
      </c>
      <c r="F19" s="16">
        <f ca="1">MAX(0,'1_Inputs'!$B$13*(1+'1_Inputs'!$C$13*$B19))</f>
        <v>201711.67075598185</v>
      </c>
      <c r="G19" s="16">
        <f ca="1">MAX(0,'1_Inputs'!$B$14*(1+'1_Inputs'!$C$14*$B19))</f>
        <v>140174.48555622163</v>
      </c>
      <c r="H19" s="16">
        <f ca="1">NPV('1_Inputs'!$B$5,C19:G19)-'1_Inputs'!$B$4</f>
        <v>-559212.60568265594</v>
      </c>
      <c r="I19" s="14" t="str">
        <f t="shared" ca="1" si="0"/>
        <v>VAN&lt;0</v>
      </c>
    </row>
    <row r="20" spans="1:9" x14ac:dyDescent="0.3">
      <c r="A20" s="14">
        <v>18</v>
      </c>
      <c r="B20" s="15">
        <f t="shared" ca="1" si="1"/>
        <v>2.2449403922674169</v>
      </c>
      <c r="C20" s="16">
        <f ca="1">MAX(0,'1_Inputs'!$B$10*(1+'1_Inputs'!$C$10*$B20))</f>
        <v>698988.07845348341</v>
      </c>
      <c r="D20" s="16">
        <f ca="1">MAX(0,'1_Inputs'!$B$11*(1+'1_Inputs'!$C$11*$B20))</f>
        <v>434696.42353604501</v>
      </c>
      <c r="E20" s="16">
        <f ca="1">MAX(0,'1_Inputs'!$B$12*(1+'1_Inputs'!$C$12*$B20))</f>
        <v>491431.24471284723</v>
      </c>
      <c r="F20" s="16">
        <f ca="1">MAX(0,'1_Inputs'!$B$13*(1+'1_Inputs'!$C$13*$B20))</f>
        <v>561635.70824325399</v>
      </c>
      <c r="G20" s="16">
        <f ca="1">MAX(0,'1_Inputs'!$B$14*(1+'1_Inputs'!$C$14*$B20))</f>
        <v>702555.79413008434</v>
      </c>
      <c r="H20" s="16">
        <f ca="1">NPV('1_Inputs'!$B$5,C20:G20)-'1_Inputs'!$B$4</f>
        <v>1076003.5504968115</v>
      </c>
      <c r="I20" s="14" t="str">
        <f t="shared" ca="1" si="0"/>
        <v>VAN&gt;0</v>
      </c>
    </row>
    <row r="21" spans="1:9" x14ac:dyDescent="0.3">
      <c r="A21" s="14">
        <v>19</v>
      </c>
      <c r="B21" s="15">
        <f t="shared" ca="1" si="1"/>
        <v>9.6351799163720872E-2</v>
      </c>
      <c r="C21" s="16">
        <f ca="1">MAX(0,'1_Inputs'!$B$10*(1+'1_Inputs'!$C$10*$B21))</f>
        <v>269270.35983274417</v>
      </c>
      <c r="D21" s="16">
        <f ca="1">MAX(0,'1_Inputs'!$B$11*(1+'1_Inputs'!$C$11*$B21))</f>
        <v>305781.10794982326</v>
      </c>
      <c r="E21" s="16">
        <f ca="1">MAX(0,'1_Inputs'!$B$12*(1+'1_Inputs'!$C$12*$B21))</f>
        <v>356070.1633473144</v>
      </c>
      <c r="F21" s="16">
        <f ca="1">MAX(0,'1_Inputs'!$B$13*(1+'1_Inputs'!$C$13*$B21))</f>
        <v>406937.3295397879</v>
      </c>
      <c r="G21" s="16">
        <f ca="1">MAX(0,'1_Inputs'!$B$14*(1+'1_Inputs'!$C$14*$B21))</f>
        <v>460839.57740591862</v>
      </c>
      <c r="H21" s="16">
        <f ca="1">NPV('1_Inputs'!$B$5,C21:G21)-'1_Inputs'!$B$4</f>
        <v>257739.28246950661</v>
      </c>
      <c r="I21" s="14" t="str">
        <f t="shared" ca="1" si="0"/>
        <v>VAN&gt;0</v>
      </c>
    </row>
    <row r="22" spans="1:9" x14ac:dyDescent="0.3">
      <c r="A22" s="14">
        <v>20</v>
      </c>
      <c r="B22" s="15">
        <f t="shared" ca="1" si="1"/>
        <v>0.72587103614706006</v>
      </c>
      <c r="C22" s="16">
        <f ca="1">MAX(0,'1_Inputs'!$B$10*(1+'1_Inputs'!$C$10*$B22))</f>
        <v>395174.20722941199</v>
      </c>
      <c r="D22" s="16">
        <f ca="1">MAX(0,'1_Inputs'!$B$11*(1+'1_Inputs'!$C$11*$B22))</f>
        <v>343552.26216882362</v>
      </c>
      <c r="E22" s="16">
        <f ca="1">MAX(0,'1_Inputs'!$B$12*(1+'1_Inputs'!$C$12*$B22))</f>
        <v>395729.87527726474</v>
      </c>
      <c r="F22" s="16">
        <f ca="1">MAX(0,'1_Inputs'!$B$13*(1+'1_Inputs'!$C$13*$B22))</f>
        <v>452262.71460258827</v>
      </c>
      <c r="G22" s="16">
        <f ca="1">MAX(0,'1_Inputs'!$B$14*(1+'1_Inputs'!$C$14*$B22))</f>
        <v>531660.49156654428</v>
      </c>
      <c r="H22" s="16">
        <f ca="1">NPV('1_Inputs'!$B$5,C22:G22)-'1_Inputs'!$B$4</f>
        <v>497484.15466729854</v>
      </c>
      <c r="I22" s="14" t="str">
        <f t="shared" ca="1" si="0"/>
        <v>VAN&gt;0</v>
      </c>
    </row>
    <row r="23" spans="1:9" x14ac:dyDescent="0.3">
      <c r="A23" s="14">
        <v>21</v>
      </c>
      <c r="B23" s="15">
        <f t="shared" ca="1" si="1"/>
        <v>-0.26791980749087019</v>
      </c>
      <c r="C23" s="16">
        <f ca="1">MAX(0,'1_Inputs'!$B$10*(1+'1_Inputs'!$C$10*$B23))</f>
        <v>196416.03850182597</v>
      </c>
      <c r="D23" s="16">
        <f ca="1">MAX(0,'1_Inputs'!$B$11*(1+'1_Inputs'!$C$11*$B23))</f>
        <v>283924.81155054778</v>
      </c>
      <c r="E23" s="16">
        <f ca="1">MAX(0,'1_Inputs'!$B$12*(1+'1_Inputs'!$C$12*$B23))</f>
        <v>333121.05212807516</v>
      </c>
      <c r="F23" s="16">
        <f ca="1">MAX(0,'1_Inputs'!$B$13*(1+'1_Inputs'!$C$13*$B23))</f>
        <v>380709.77386065735</v>
      </c>
      <c r="G23" s="16">
        <f ca="1">MAX(0,'1_Inputs'!$B$14*(1+'1_Inputs'!$C$14*$B23))</f>
        <v>419859.02165727713</v>
      </c>
      <c r="H23" s="16">
        <f ca="1">NPV('1_Inputs'!$B$5,C23:G23)-'1_Inputs'!$B$4</f>
        <v>119010.79785450711</v>
      </c>
      <c r="I23" s="14" t="str">
        <f t="shared" ca="1" si="0"/>
        <v>VAN&gt;0</v>
      </c>
    </row>
    <row r="24" spans="1:9" x14ac:dyDescent="0.3">
      <c r="A24" s="14">
        <v>22</v>
      </c>
      <c r="B24" s="15">
        <f ca="1">NORMINV(RAND(),0,1)</f>
        <v>-0.34809495886703817</v>
      </c>
      <c r="C24" s="16">
        <f ca="1">MAX(0,'1_Inputs'!$B$10*(1+'1_Inputs'!$C$10*$B24))</f>
        <v>180381.00822659236</v>
      </c>
      <c r="D24" s="16">
        <f ca="1">MAX(0,'1_Inputs'!$B$11*(1+'1_Inputs'!$C$11*$B24))</f>
        <v>279114.30246797774</v>
      </c>
      <c r="E24" s="16">
        <f ca="1">MAX(0,'1_Inputs'!$B$12*(1+'1_Inputs'!$C$12*$B24))</f>
        <v>328070.01759137661</v>
      </c>
      <c r="F24" s="16">
        <f ca="1">MAX(0,'1_Inputs'!$B$13*(1+'1_Inputs'!$C$13*$B24))</f>
        <v>374937.16296157322</v>
      </c>
      <c r="G24" s="16">
        <f ca="1">MAX(0,'1_Inputs'!$B$14*(1+'1_Inputs'!$C$14*$B24))</f>
        <v>410839.31712745817</v>
      </c>
      <c r="H24" s="16">
        <f ca="1">NPV('1_Inputs'!$B$5,C24:G24)-'1_Inputs'!$B$4</f>
        <v>88477.050367729506</v>
      </c>
      <c r="I24" s="14" t="str">
        <f t="shared" ca="1" si="0"/>
        <v>VAN&gt;0</v>
      </c>
    </row>
    <row r="25" spans="1:9" x14ac:dyDescent="0.3">
      <c r="A25" s="14">
        <v>23</v>
      </c>
      <c r="B25" s="15">
        <f t="shared" ca="1" si="1"/>
        <v>-1.7493380337718776</v>
      </c>
      <c r="C25" s="16">
        <f ca="1">MAX(0,'1_Inputs'!$B$10*(1+'1_Inputs'!$C$10*$B25))</f>
        <v>0</v>
      </c>
      <c r="D25" s="16">
        <f ca="1">MAX(0,'1_Inputs'!$B$11*(1+'1_Inputs'!$C$11*$B25))</f>
        <v>195039.71797368734</v>
      </c>
      <c r="E25" s="16">
        <f ca="1">MAX(0,'1_Inputs'!$B$12*(1+'1_Inputs'!$C$12*$B25))</f>
        <v>239791.70387237173</v>
      </c>
      <c r="F25" s="16">
        <f ca="1">MAX(0,'1_Inputs'!$B$13*(1+'1_Inputs'!$C$13*$B25))</f>
        <v>274047.66156842484</v>
      </c>
      <c r="G25" s="16">
        <f ca="1">MAX(0,'1_Inputs'!$B$14*(1+'1_Inputs'!$C$14*$B25))</f>
        <v>253199.47120066377</v>
      </c>
      <c r="H25" s="16">
        <f ca="1">NPV('1_Inputs'!$B$5,C25:G25)-'1_Inputs'!$B$4</f>
        <v>-356002.10946191452</v>
      </c>
      <c r="I25" s="14" t="str">
        <f t="shared" ca="1" si="0"/>
        <v>VAN&lt;0</v>
      </c>
    </row>
    <row r="26" spans="1:9" x14ac:dyDescent="0.3">
      <c r="A26" s="14">
        <v>24</v>
      </c>
      <c r="B26" s="15">
        <f t="shared" ca="1" si="1"/>
        <v>0.98260636469056883</v>
      </c>
      <c r="C26" s="16">
        <f ca="1">MAX(0,'1_Inputs'!$B$10*(1+'1_Inputs'!$C$10*$B26))</f>
        <v>446521.27293811378</v>
      </c>
      <c r="D26" s="16">
        <f ca="1">MAX(0,'1_Inputs'!$B$11*(1+'1_Inputs'!$C$11*$B26))</f>
        <v>358956.38188143412</v>
      </c>
      <c r="E26" s="16">
        <f ca="1">MAX(0,'1_Inputs'!$B$12*(1+'1_Inputs'!$C$12*$B26))</f>
        <v>411904.20097550581</v>
      </c>
      <c r="F26" s="16">
        <f ca="1">MAX(0,'1_Inputs'!$B$13*(1+'1_Inputs'!$C$13*$B26))</f>
        <v>470747.65825772093</v>
      </c>
      <c r="G26" s="16">
        <f ca="1">MAX(0,'1_Inputs'!$B$14*(1+'1_Inputs'!$C$14*$B26))</f>
        <v>560543.21602768905</v>
      </c>
      <c r="H26" s="16">
        <f ca="1">NPV('1_Inputs'!$B$5,C26:G26)-'1_Inputs'!$B$4</f>
        <v>595258.73392443825</v>
      </c>
      <c r="I26" s="14" t="str">
        <f t="shared" ca="1" si="0"/>
        <v>VAN&gt;0</v>
      </c>
    </row>
    <row r="27" spans="1:9" x14ac:dyDescent="0.3">
      <c r="A27" s="14">
        <v>25</v>
      </c>
      <c r="B27" s="15">
        <f t="shared" ca="1" si="1"/>
        <v>0.35169111966773148</v>
      </c>
      <c r="C27" s="16">
        <f ca="1">MAX(0,'1_Inputs'!$B$10*(1+'1_Inputs'!$C$10*$B27))</f>
        <v>320338.22393354628</v>
      </c>
      <c r="D27" s="16">
        <f ca="1">MAX(0,'1_Inputs'!$B$11*(1+'1_Inputs'!$C$11*$B27))</f>
        <v>321101.46718006389</v>
      </c>
      <c r="E27" s="16">
        <f ca="1">MAX(0,'1_Inputs'!$B$12*(1+'1_Inputs'!$C$12*$B27))</f>
        <v>372156.54053906706</v>
      </c>
      <c r="F27" s="16">
        <f ca="1">MAX(0,'1_Inputs'!$B$13*(1+'1_Inputs'!$C$13*$B27))</f>
        <v>425321.76061607664</v>
      </c>
      <c r="G27" s="16">
        <f ca="1">MAX(0,'1_Inputs'!$B$14*(1+'1_Inputs'!$C$14*$B27))</f>
        <v>489565.25096261979</v>
      </c>
      <c r="H27" s="16">
        <f ca="1">NPV('1_Inputs'!$B$5,C27:G27)-'1_Inputs'!$B$4</f>
        <v>354982.20876140799</v>
      </c>
      <c r="I27" s="14" t="str">
        <f t="shared" ca="1" si="0"/>
        <v>VAN&gt;0</v>
      </c>
    </row>
    <row r="28" spans="1:9" x14ac:dyDescent="0.3">
      <c r="A28" s="14">
        <v>26</v>
      </c>
      <c r="B28" s="15">
        <f t="shared" ca="1" si="1"/>
        <v>-0.57323524746194465</v>
      </c>
      <c r="C28" s="16">
        <f ca="1">MAX(0,'1_Inputs'!$B$10*(1+'1_Inputs'!$C$10*$B28))</f>
        <v>135352.95050761107</v>
      </c>
      <c r="D28" s="16">
        <f ca="1">MAX(0,'1_Inputs'!$B$11*(1+'1_Inputs'!$C$11*$B28))</f>
        <v>265605.8851522833</v>
      </c>
      <c r="E28" s="16">
        <f ca="1">MAX(0,'1_Inputs'!$B$12*(1+'1_Inputs'!$C$12*$B28))</f>
        <v>313886.17940989748</v>
      </c>
      <c r="F28" s="16">
        <f ca="1">MAX(0,'1_Inputs'!$B$13*(1+'1_Inputs'!$C$13*$B28))</f>
        <v>358727.06218274002</v>
      </c>
      <c r="G28" s="16">
        <f ca="1">MAX(0,'1_Inputs'!$B$14*(1+'1_Inputs'!$C$14*$B28))</f>
        <v>385511.03466053121</v>
      </c>
      <c r="H28" s="16">
        <f ca="1">NPV('1_Inputs'!$B$5,C28:G28)-'1_Inputs'!$B$4</f>
        <v>2735.0641904455842</v>
      </c>
      <c r="I28" s="14" t="str">
        <f t="shared" ca="1" si="0"/>
        <v>VAN&gt;0</v>
      </c>
    </row>
    <row r="29" spans="1:9" x14ac:dyDescent="0.3">
      <c r="A29" s="14">
        <v>27</v>
      </c>
      <c r="B29" s="15">
        <f t="shared" ca="1" si="1"/>
        <v>2.1311886738135728E-2</v>
      </c>
      <c r="C29" s="16">
        <f ca="1">MAX(0,'1_Inputs'!$B$10*(1+'1_Inputs'!$C$10*$B29))</f>
        <v>254262.37734762713</v>
      </c>
      <c r="D29" s="16">
        <f ca="1">MAX(0,'1_Inputs'!$B$11*(1+'1_Inputs'!$C$11*$B29))</f>
        <v>301278.71320428816</v>
      </c>
      <c r="E29" s="16">
        <f ca="1">MAX(0,'1_Inputs'!$B$12*(1+'1_Inputs'!$C$12*$B29))</f>
        <v>351342.64886450249</v>
      </c>
      <c r="F29" s="16">
        <f ca="1">MAX(0,'1_Inputs'!$B$13*(1+'1_Inputs'!$C$13*$B29))</f>
        <v>401534.45584514574</v>
      </c>
      <c r="G29" s="16">
        <f ca="1">MAX(0,'1_Inputs'!$B$14*(1+'1_Inputs'!$C$14*$B29))</f>
        <v>452397.58725804032</v>
      </c>
      <c r="H29" s="16">
        <f ca="1">NPV('1_Inputs'!$B$5,C29:G29)-'1_Inputs'!$B$4</f>
        <v>229161.22931831796</v>
      </c>
      <c r="I29" s="14" t="str">
        <f t="shared" ca="1" si="0"/>
        <v>VAN&gt;0</v>
      </c>
    </row>
    <row r="30" spans="1:9" x14ac:dyDescent="0.3">
      <c r="A30" s="14">
        <v>28</v>
      </c>
      <c r="B30" s="15">
        <f t="shared" ca="1" si="1"/>
        <v>0.79064682108650208</v>
      </c>
      <c r="C30" s="16">
        <f ca="1">MAX(0,'1_Inputs'!$B$10*(1+'1_Inputs'!$C$10*$B30))</f>
        <v>408129.36421730038</v>
      </c>
      <c r="D30" s="16">
        <f ca="1">MAX(0,'1_Inputs'!$B$11*(1+'1_Inputs'!$C$11*$B30))</f>
        <v>347438.80926519015</v>
      </c>
      <c r="E30" s="16">
        <f ca="1">MAX(0,'1_Inputs'!$B$12*(1+'1_Inputs'!$C$12*$B30))</f>
        <v>399810.74972844962</v>
      </c>
      <c r="F30" s="16">
        <f ca="1">MAX(0,'1_Inputs'!$B$13*(1+'1_Inputs'!$C$13*$B30))</f>
        <v>456926.57111822814</v>
      </c>
      <c r="G30" s="16">
        <f ca="1">MAX(0,'1_Inputs'!$B$14*(1+'1_Inputs'!$C$14*$B30))</f>
        <v>538947.76737223158</v>
      </c>
      <c r="H30" s="16">
        <f ca="1">NPV('1_Inputs'!$B$5,C30:G30)-'1_Inputs'!$B$4</f>
        <v>522153.23762691813</v>
      </c>
      <c r="I30" s="14" t="str">
        <f t="shared" ca="1" si="0"/>
        <v>VAN&gt;0</v>
      </c>
    </row>
    <row r="31" spans="1:9" x14ac:dyDescent="0.3">
      <c r="A31" s="14">
        <v>29</v>
      </c>
      <c r="B31" s="15">
        <f t="shared" ca="1" si="1"/>
        <v>-0.15959742931438428</v>
      </c>
      <c r="C31" s="16">
        <f ca="1">MAX(0,'1_Inputs'!$B$10*(1+'1_Inputs'!$C$10*$B31))</f>
        <v>218080.51413712316</v>
      </c>
      <c r="D31" s="16">
        <f ca="1">MAX(0,'1_Inputs'!$B$11*(1+'1_Inputs'!$C$11*$B31))</f>
        <v>290424.15424113697</v>
      </c>
      <c r="E31" s="16">
        <f ca="1">MAX(0,'1_Inputs'!$B$12*(1+'1_Inputs'!$C$12*$B31))</f>
        <v>339945.36195319379</v>
      </c>
      <c r="F31" s="16">
        <f ca="1">MAX(0,'1_Inputs'!$B$13*(1+'1_Inputs'!$C$13*$B31))</f>
        <v>388508.98508936435</v>
      </c>
      <c r="G31" s="16">
        <f ca="1">MAX(0,'1_Inputs'!$B$14*(1+'1_Inputs'!$C$14*$B31))</f>
        <v>432045.2892021318</v>
      </c>
      <c r="H31" s="16">
        <f ca="1">NPV('1_Inputs'!$B$5,C31:G31)-'1_Inputs'!$B$4</f>
        <v>160264.08002032246</v>
      </c>
      <c r="I31" s="14" t="str">
        <f t="shared" ca="1" si="0"/>
        <v>VAN&gt;0</v>
      </c>
    </row>
    <row r="32" spans="1:9" x14ac:dyDescent="0.3">
      <c r="A32" s="14">
        <v>30</v>
      </c>
      <c r="B32" s="15">
        <f t="shared" ca="1" si="1"/>
        <v>-0.45989035717047422</v>
      </c>
      <c r="C32" s="16">
        <f ca="1">MAX(0,'1_Inputs'!$B$10*(1+'1_Inputs'!$C$10*$B32))</f>
        <v>158021.92856590514</v>
      </c>
      <c r="D32" s="16">
        <f ca="1">MAX(0,'1_Inputs'!$B$11*(1+'1_Inputs'!$C$11*$B32))</f>
        <v>272406.57856977155</v>
      </c>
      <c r="E32" s="16">
        <f ca="1">MAX(0,'1_Inputs'!$B$12*(1+'1_Inputs'!$C$12*$B32))</f>
        <v>321026.90749826009</v>
      </c>
      <c r="F32" s="16">
        <f ca="1">MAX(0,'1_Inputs'!$B$13*(1+'1_Inputs'!$C$13*$B32))</f>
        <v>366887.89428372582</v>
      </c>
      <c r="G32" s="16">
        <f ca="1">MAX(0,'1_Inputs'!$B$14*(1+'1_Inputs'!$C$14*$B32))</f>
        <v>398262.33481832163</v>
      </c>
      <c r="H32" s="16">
        <f ca="1">NPV('1_Inputs'!$B$5,C32:G32)-'1_Inputs'!$B$4</f>
        <v>45901.110024753492</v>
      </c>
      <c r="I32" s="14" t="str">
        <f t="shared" ca="1" si="0"/>
        <v>VAN&gt;0</v>
      </c>
    </row>
    <row r="33" spans="1:9" x14ac:dyDescent="0.3">
      <c r="A33" s="14">
        <v>31</v>
      </c>
      <c r="B33" s="15">
        <f t="shared" ca="1" si="1"/>
        <v>0.60272708562537902</v>
      </c>
      <c r="C33" s="16">
        <f ca="1">MAX(0,'1_Inputs'!$B$10*(1+'1_Inputs'!$C$10*$B33))</f>
        <v>370545.41712507582</v>
      </c>
      <c r="D33" s="16">
        <f ca="1">MAX(0,'1_Inputs'!$B$11*(1+'1_Inputs'!$C$11*$B33))</f>
        <v>336163.6251375227</v>
      </c>
      <c r="E33" s="16">
        <f ca="1">MAX(0,'1_Inputs'!$B$12*(1+'1_Inputs'!$C$12*$B33))</f>
        <v>387971.80639439885</v>
      </c>
      <c r="F33" s="16">
        <f ca="1">MAX(0,'1_Inputs'!$B$13*(1+'1_Inputs'!$C$13*$B33))</f>
        <v>443396.35016502725</v>
      </c>
      <c r="G33" s="16">
        <f ca="1">MAX(0,'1_Inputs'!$B$14*(1+'1_Inputs'!$C$14*$B33))</f>
        <v>517806.79713285511</v>
      </c>
      <c r="H33" s="16">
        <f ca="1">NPV('1_Inputs'!$B$5,C33:G33)-'1_Inputs'!$B$4</f>
        <v>450586.25394352293</v>
      </c>
      <c r="I33" s="14" t="str">
        <f t="shared" ca="1" si="0"/>
        <v>VAN&gt;0</v>
      </c>
    </row>
    <row r="34" spans="1:9" x14ac:dyDescent="0.3">
      <c r="A34" s="14">
        <v>32</v>
      </c>
      <c r="B34" s="15">
        <f t="shared" ca="1" si="1"/>
        <v>-0.30094097739552866</v>
      </c>
      <c r="C34" s="16">
        <f ca="1">MAX(0,'1_Inputs'!$B$10*(1+'1_Inputs'!$C$10*$B34))</f>
        <v>189811.80452089428</v>
      </c>
      <c r="D34" s="16">
        <f ca="1">MAX(0,'1_Inputs'!$B$11*(1+'1_Inputs'!$C$11*$B34))</f>
        <v>281943.54135626828</v>
      </c>
      <c r="E34" s="16">
        <f ca="1">MAX(0,'1_Inputs'!$B$12*(1+'1_Inputs'!$C$12*$B34))</f>
        <v>331040.71842408169</v>
      </c>
      <c r="F34" s="16">
        <f ca="1">MAX(0,'1_Inputs'!$B$13*(1+'1_Inputs'!$C$13*$B34))</f>
        <v>378332.2496275219</v>
      </c>
      <c r="G34" s="16">
        <f ca="1">MAX(0,'1_Inputs'!$B$14*(1+'1_Inputs'!$C$14*$B34))</f>
        <v>416144.14004300302</v>
      </c>
      <c r="H34" s="16">
        <f ca="1">NPV('1_Inputs'!$B$5,C34:G34)-'1_Inputs'!$B$4</f>
        <v>106435.08023775765</v>
      </c>
      <c r="I34" s="14" t="str">
        <f t="shared" ca="1" si="0"/>
        <v>VAN&gt;0</v>
      </c>
    </row>
    <row r="35" spans="1:9" x14ac:dyDescent="0.3">
      <c r="A35" s="14">
        <v>33</v>
      </c>
      <c r="B35" s="15">
        <f t="shared" ca="1" si="1"/>
        <v>1.0935586560328454</v>
      </c>
      <c r="C35" s="16">
        <f ca="1">MAX(0,'1_Inputs'!$B$10*(1+'1_Inputs'!$C$10*$B35))</f>
        <v>468711.73120656906</v>
      </c>
      <c r="D35" s="16">
        <f ca="1">MAX(0,'1_Inputs'!$B$11*(1+'1_Inputs'!$C$11*$B35))</f>
        <v>365613.51936197077</v>
      </c>
      <c r="E35" s="16">
        <f ca="1">MAX(0,'1_Inputs'!$B$12*(1+'1_Inputs'!$C$12*$B35))</f>
        <v>418894.19533006923</v>
      </c>
      <c r="F35" s="16">
        <f ca="1">MAX(0,'1_Inputs'!$B$13*(1+'1_Inputs'!$C$13*$B35))</f>
        <v>478736.22323436482</v>
      </c>
      <c r="G35" s="16">
        <f ca="1">MAX(0,'1_Inputs'!$B$14*(1+'1_Inputs'!$C$14*$B35))</f>
        <v>573025.34880369517</v>
      </c>
      <c r="H35" s="16">
        <f ca="1">NPV('1_Inputs'!$B$5,C35:G35)-'1_Inputs'!$B$4</f>
        <v>637513.5870650271</v>
      </c>
      <c r="I35" s="14" t="str">
        <f t="shared" ref="I35:I66" ca="1" si="2">IF(H35&gt;0,"VAN&gt;0","VAN&lt;0")</f>
        <v>VAN&gt;0</v>
      </c>
    </row>
    <row r="36" spans="1:9" x14ac:dyDescent="0.3">
      <c r="A36" s="14">
        <v>34</v>
      </c>
      <c r="B36" s="15">
        <f t="shared" ca="1" si="1"/>
        <v>-1.6144800396545724</v>
      </c>
      <c r="C36" s="16">
        <f ca="1">MAX(0,'1_Inputs'!$B$10*(1+'1_Inputs'!$C$10*$B36))</f>
        <v>0</v>
      </c>
      <c r="D36" s="16">
        <f ca="1">MAX(0,'1_Inputs'!$B$11*(1+'1_Inputs'!$C$11*$B36))</f>
        <v>203131.19762072567</v>
      </c>
      <c r="E36" s="16">
        <f ca="1">MAX(0,'1_Inputs'!$B$12*(1+'1_Inputs'!$C$12*$B36))</f>
        <v>248287.75750176192</v>
      </c>
      <c r="F36" s="16">
        <f ca="1">MAX(0,'1_Inputs'!$B$13*(1+'1_Inputs'!$C$13*$B36))</f>
        <v>283757.43714487081</v>
      </c>
      <c r="G36" s="16">
        <f ca="1">MAX(0,'1_Inputs'!$B$14*(1+'1_Inputs'!$C$14*$B36))</f>
        <v>268370.99553886062</v>
      </c>
      <c r="H36" s="16">
        <f ca="1">NPV('1_Inputs'!$B$5,C36:G36)-'1_Inputs'!$B$4</f>
        <v>-328724.84000143711</v>
      </c>
      <c r="I36" s="14" t="str">
        <f t="shared" ca="1" si="2"/>
        <v>VAN&lt;0</v>
      </c>
    </row>
    <row r="37" spans="1:9" x14ac:dyDescent="0.3">
      <c r="A37" s="14">
        <v>35</v>
      </c>
      <c r="B37" s="15">
        <f t="shared" ca="1" si="1"/>
        <v>1.2049945367237929</v>
      </c>
      <c r="C37" s="16">
        <f ca="1">MAX(0,'1_Inputs'!$B$10*(1+'1_Inputs'!$C$10*$B37))</f>
        <v>490998.90734475857</v>
      </c>
      <c r="D37" s="16">
        <f ca="1">MAX(0,'1_Inputs'!$B$11*(1+'1_Inputs'!$C$11*$B37))</f>
        <v>372299.67220342759</v>
      </c>
      <c r="E37" s="16">
        <f ca="1">MAX(0,'1_Inputs'!$B$12*(1+'1_Inputs'!$C$12*$B37))</f>
        <v>425914.65581359895</v>
      </c>
      <c r="F37" s="16">
        <f ca="1">MAX(0,'1_Inputs'!$B$13*(1+'1_Inputs'!$C$13*$B37))</f>
        <v>486759.60664411308</v>
      </c>
      <c r="G37" s="16">
        <f ca="1">MAX(0,'1_Inputs'!$B$14*(1+'1_Inputs'!$C$14*$B37))</f>
        <v>585561.88538142666</v>
      </c>
      <c r="H37" s="16">
        <f ca="1">NPV('1_Inputs'!$B$5,C37:G37)-'1_Inputs'!$B$4</f>
        <v>679952.60942520737</v>
      </c>
      <c r="I37" s="14" t="str">
        <f t="shared" ca="1" si="2"/>
        <v>VAN&gt;0</v>
      </c>
    </row>
    <row r="38" spans="1:9" x14ac:dyDescent="0.3">
      <c r="A38" s="14">
        <v>36</v>
      </c>
      <c r="B38" s="15">
        <f t="shared" ca="1" si="1"/>
        <v>-1.2410311931649576</v>
      </c>
      <c r="C38" s="16">
        <f ca="1">MAX(0,'1_Inputs'!$B$10*(1+'1_Inputs'!$C$10*$B38))</f>
        <v>1793.7613670084841</v>
      </c>
      <c r="D38" s="16">
        <f ca="1">MAX(0,'1_Inputs'!$B$11*(1+'1_Inputs'!$C$11*$B38))</f>
        <v>225538.12841010254</v>
      </c>
      <c r="E38" s="16">
        <f ca="1">MAX(0,'1_Inputs'!$B$12*(1+'1_Inputs'!$C$12*$B38))</f>
        <v>271815.03483060771</v>
      </c>
      <c r="F38" s="16">
        <f ca="1">MAX(0,'1_Inputs'!$B$13*(1+'1_Inputs'!$C$13*$B38))</f>
        <v>310645.75409212307</v>
      </c>
      <c r="G38" s="16">
        <f ca="1">MAX(0,'1_Inputs'!$B$14*(1+'1_Inputs'!$C$14*$B38))</f>
        <v>310383.99076894228</v>
      </c>
      <c r="H38" s="16">
        <f ca="1">NPV('1_Inputs'!$B$5,C38:G38)-'1_Inputs'!$B$4</f>
        <v>-251587.03472423751</v>
      </c>
      <c r="I38" s="14" t="str">
        <f t="shared" ca="1" si="2"/>
        <v>VAN&lt;0</v>
      </c>
    </row>
    <row r="39" spans="1:9" x14ac:dyDescent="0.3">
      <c r="A39" s="14">
        <v>37</v>
      </c>
      <c r="B39" s="15">
        <f t="shared" ca="1" si="1"/>
        <v>-0.97423990912964753</v>
      </c>
      <c r="C39" s="16">
        <f ca="1">MAX(0,'1_Inputs'!$B$10*(1+'1_Inputs'!$C$10*$B39))</f>
        <v>55152.018174070479</v>
      </c>
      <c r="D39" s="16">
        <f ca="1">MAX(0,'1_Inputs'!$B$11*(1+'1_Inputs'!$C$11*$B39))</f>
        <v>241545.60545222115</v>
      </c>
      <c r="E39" s="16">
        <f ca="1">MAX(0,'1_Inputs'!$B$12*(1+'1_Inputs'!$C$12*$B39))</f>
        <v>288622.88572483219</v>
      </c>
      <c r="F39" s="16">
        <f ca="1">MAX(0,'1_Inputs'!$B$13*(1+'1_Inputs'!$C$13*$B39))</f>
        <v>329854.72654266539</v>
      </c>
      <c r="G39" s="16">
        <f ca="1">MAX(0,'1_Inputs'!$B$14*(1+'1_Inputs'!$C$14*$B39))</f>
        <v>340398.01022291469</v>
      </c>
      <c r="H39" s="16">
        <f ca="1">NPV('1_Inputs'!$B$5,C39:G39)-'1_Inputs'!$B$4</f>
        <v>-149982.76508978463</v>
      </c>
      <c r="I39" s="14" t="str">
        <f t="shared" ca="1" si="2"/>
        <v>VAN&lt;0</v>
      </c>
    </row>
    <row r="40" spans="1:9" x14ac:dyDescent="0.3">
      <c r="A40" s="14">
        <v>38</v>
      </c>
      <c r="B40" s="15">
        <f t="shared" ca="1" si="1"/>
        <v>0.68205202444124113</v>
      </c>
      <c r="C40" s="16">
        <f ca="1">MAX(0,'1_Inputs'!$B$10*(1+'1_Inputs'!$C$10*$B40))</f>
        <v>386410.40488824825</v>
      </c>
      <c r="D40" s="16">
        <f ca="1">MAX(0,'1_Inputs'!$B$11*(1+'1_Inputs'!$C$11*$B40))</f>
        <v>340923.12146647443</v>
      </c>
      <c r="E40" s="16">
        <f ca="1">MAX(0,'1_Inputs'!$B$12*(1+'1_Inputs'!$C$12*$B40))</f>
        <v>392969.27753979817</v>
      </c>
      <c r="F40" s="16">
        <f ca="1">MAX(0,'1_Inputs'!$B$13*(1+'1_Inputs'!$C$13*$B40))</f>
        <v>449107.7457597694</v>
      </c>
      <c r="G40" s="16">
        <f ca="1">MAX(0,'1_Inputs'!$B$14*(1+'1_Inputs'!$C$14*$B40))</f>
        <v>526730.85274963954</v>
      </c>
      <c r="H40" s="16">
        <f ca="1">NPV('1_Inputs'!$B$5,C40:G40)-'1_Inputs'!$B$4</f>
        <v>480796.20814546244</v>
      </c>
      <c r="I40" s="14" t="str">
        <f t="shared" ca="1" si="2"/>
        <v>VAN&gt;0</v>
      </c>
    </row>
    <row r="41" spans="1:9" x14ac:dyDescent="0.3">
      <c r="A41" s="14">
        <v>39</v>
      </c>
      <c r="B41" s="15">
        <f t="shared" ca="1" si="1"/>
        <v>0.2926860797771384</v>
      </c>
      <c r="C41" s="16">
        <f ca="1">MAX(0,'1_Inputs'!$B$10*(1+'1_Inputs'!$C$10*$B41))</f>
        <v>308537.21595542773</v>
      </c>
      <c r="D41" s="16">
        <f ca="1">MAX(0,'1_Inputs'!$B$11*(1+'1_Inputs'!$C$11*$B41))</f>
        <v>317561.16478662827</v>
      </c>
      <c r="E41" s="16">
        <f ca="1">MAX(0,'1_Inputs'!$B$12*(1+'1_Inputs'!$C$12*$B41))</f>
        <v>368439.22302595968</v>
      </c>
      <c r="F41" s="16">
        <f ca="1">MAX(0,'1_Inputs'!$B$13*(1+'1_Inputs'!$C$13*$B41))</f>
        <v>421073.39774395392</v>
      </c>
      <c r="G41" s="16">
        <f ca="1">MAX(0,'1_Inputs'!$B$14*(1+'1_Inputs'!$C$14*$B41))</f>
        <v>482927.18397492805</v>
      </c>
      <c r="H41" s="16">
        <f ca="1">NPV('1_Inputs'!$B$5,C41:G41)-'1_Inputs'!$B$4</f>
        <v>332510.8450340908</v>
      </c>
      <c r="I41" s="14" t="str">
        <f t="shared" ca="1" si="2"/>
        <v>VAN&gt;0</v>
      </c>
    </row>
    <row r="42" spans="1:9" x14ac:dyDescent="0.3">
      <c r="A42" s="14">
        <v>40</v>
      </c>
      <c r="B42" s="15">
        <f t="shared" ca="1" si="1"/>
        <v>-0.34808512407094788</v>
      </c>
      <c r="C42" s="16">
        <f ca="1">MAX(0,'1_Inputs'!$B$10*(1+'1_Inputs'!$C$10*$B42))</f>
        <v>180382.97518581041</v>
      </c>
      <c r="D42" s="16">
        <f ca="1">MAX(0,'1_Inputs'!$B$11*(1+'1_Inputs'!$C$11*$B42))</f>
        <v>279114.89255574311</v>
      </c>
      <c r="E42" s="16">
        <f ca="1">MAX(0,'1_Inputs'!$B$12*(1+'1_Inputs'!$C$12*$B42))</f>
        <v>328070.63718353031</v>
      </c>
      <c r="F42" s="16">
        <f ca="1">MAX(0,'1_Inputs'!$B$13*(1+'1_Inputs'!$C$13*$B42))</f>
        <v>374937.87106689176</v>
      </c>
      <c r="G42" s="16">
        <f ca="1">MAX(0,'1_Inputs'!$B$14*(1+'1_Inputs'!$C$14*$B42))</f>
        <v>410840.42354201834</v>
      </c>
      <c r="H42" s="16">
        <f ca="1">NPV('1_Inputs'!$B$5,C42:G42)-'1_Inputs'!$B$4</f>
        <v>88480.795832193922</v>
      </c>
      <c r="I42" s="14" t="str">
        <f t="shared" ca="1" si="2"/>
        <v>VAN&gt;0</v>
      </c>
    </row>
    <row r="43" spans="1:9" x14ac:dyDescent="0.3">
      <c r="A43" s="14">
        <v>41</v>
      </c>
      <c r="B43" s="15">
        <f t="shared" ca="1" si="1"/>
        <v>0.77067940520586964</v>
      </c>
      <c r="C43" s="16">
        <f ca="1">MAX(0,'1_Inputs'!$B$10*(1+'1_Inputs'!$C$10*$B43))</f>
        <v>404135.88104117394</v>
      </c>
      <c r="D43" s="16">
        <f ca="1">MAX(0,'1_Inputs'!$B$11*(1+'1_Inputs'!$C$11*$B43))</f>
        <v>346240.76431235217</v>
      </c>
      <c r="E43" s="16">
        <f ca="1">MAX(0,'1_Inputs'!$B$12*(1+'1_Inputs'!$C$12*$B43))</f>
        <v>398552.80252796982</v>
      </c>
      <c r="F43" s="16">
        <f ca="1">MAX(0,'1_Inputs'!$B$13*(1+'1_Inputs'!$C$13*$B43))</f>
        <v>455488.91717482265</v>
      </c>
      <c r="G43" s="16">
        <f ca="1">MAX(0,'1_Inputs'!$B$14*(1+'1_Inputs'!$C$14*$B43))</f>
        <v>536701.43308566033</v>
      </c>
      <c r="H43" s="16">
        <f ca="1">NPV('1_Inputs'!$B$5,C43:G43)-'1_Inputs'!$B$4</f>
        <v>514548.8861040601</v>
      </c>
      <c r="I43" s="14" t="str">
        <f t="shared" ca="1" si="2"/>
        <v>VAN&gt;0</v>
      </c>
    </row>
    <row r="44" spans="1:9" x14ac:dyDescent="0.3">
      <c r="A44" s="14">
        <v>42</v>
      </c>
      <c r="B44" s="15">
        <f t="shared" ca="1" si="1"/>
        <v>-0.62366157318378201</v>
      </c>
      <c r="C44" s="16">
        <f ca="1">MAX(0,'1_Inputs'!$B$10*(1+'1_Inputs'!$C$10*$B44))</f>
        <v>125267.6853632436</v>
      </c>
      <c r="D44" s="16">
        <f ca="1">MAX(0,'1_Inputs'!$B$11*(1+'1_Inputs'!$C$11*$B44))</f>
        <v>262580.30560897308</v>
      </c>
      <c r="E44" s="16">
        <f ca="1">MAX(0,'1_Inputs'!$B$12*(1+'1_Inputs'!$C$12*$B44))</f>
        <v>310709.32088942174</v>
      </c>
      <c r="F44" s="16">
        <f ca="1">MAX(0,'1_Inputs'!$B$13*(1+'1_Inputs'!$C$13*$B44))</f>
        <v>355096.36673076771</v>
      </c>
      <c r="G44" s="16">
        <f ca="1">MAX(0,'1_Inputs'!$B$14*(1+'1_Inputs'!$C$14*$B44))</f>
        <v>379838.07301682455</v>
      </c>
      <c r="H44" s="16">
        <f ca="1">NPV('1_Inputs'!$B$5,C44:G44)-'1_Inputs'!$B$4</f>
        <v>-16469.198849265114</v>
      </c>
      <c r="I44" s="14" t="str">
        <f t="shared" ca="1" si="2"/>
        <v>VAN&lt;0</v>
      </c>
    </row>
    <row r="45" spans="1:9" x14ac:dyDescent="0.3">
      <c r="A45" s="14">
        <v>43</v>
      </c>
      <c r="B45" s="15">
        <f t="shared" ca="1" si="1"/>
        <v>1.0488767415282096</v>
      </c>
      <c r="C45" s="16">
        <f ca="1">MAX(0,'1_Inputs'!$B$10*(1+'1_Inputs'!$C$10*$B45))</f>
        <v>459775.34830564191</v>
      </c>
      <c r="D45" s="16">
        <f ca="1">MAX(0,'1_Inputs'!$B$11*(1+'1_Inputs'!$C$11*$B45))</f>
        <v>362932.60449169256</v>
      </c>
      <c r="E45" s="16">
        <f ca="1">MAX(0,'1_Inputs'!$B$12*(1+'1_Inputs'!$C$12*$B45))</f>
        <v>416079.23471627716</v>
      </c>
      <c r="F45" s="16">
        <f ca="1">MAX(0,'1_Inputs'!$B$13*(1+'1_Inputs'!$C$13*$B45))</f>
        <v>475519.12539003103</v>
      </c>
      <c r="G45" s="16">
        <f ca="1">MAX(0,'1_Inputs'!$B$14*(1+'1_Inputs'!$C$14*$B45))</f>
        <v>567998.63342192362</v>
      </c>
      <c r="H45" s="16">
        <f ca="1">NPV('1_Inputs'!$B$5,C45:G45)-'1_Inputs'!$B$4</f>
        <v>620497.01433279412</v>
      </c>
      <c r="I45" s="14" t="str">
        <f t="shared" ca="1" si="2"/>
        <v>VAN&gt;0</v>
      </c>
    </row>
    <row r="46" spans="1:9" x14ac:dyDescent="0.3">
      <c r="A46" s="14">
        <v>44</v>
      </c>
      <c r="B46" s="15">
        <f t="shared" ca="1" si="1"/>
        <v>-2.0755562124738045</v>
      </c>
      <c r="C46" s="16">
        <f ca="1">MAX(0,'1_Inputs'!$B$10*(1+'1_Inputs'!$C$10*$B46))</f>
        <v>0</v>
      </c>
      <c r="D46" s="16">
        <f ca="1">MAX(0,'1_Inputs'!$B$11*(1+'1_Inputs'!$C$11*$B46))</f>
        <v>175466.62725157171</v>
      </c>
      <c r="E46" s="16">
        <f ca="1">MAX(0,'1_Inputs'!$B$12*(1+'1_Inputs'!$C$12*$B46))</f>
        <v>219239.95861415032</v>
      </c>
      <c r="F46" s="16">
        <f ca="1">MAX(0,'1_Inputs'!$B$13*(1+'1_Inputs'!$C$13*$B46))</f>
        <v>250559.95270188607</v>
      </c>
      <c r="G46" s="16">
        <f ca="1">MAX(0,'1_Inputs'!$B$14*(1+'1_Inputs'!$C$14*$B46))</f>
        <v>216499.92609669699</v>
      </c>
      <c r="H46" s="16">
        <f ca="1">NPV('1_Inputs'!$B$5,C46:G46)-'1_Inputs'!$B$4</f>
        <v>-421985.15497287235</v>
      </c>
      <c r="I46" s="14" t="str">
        <f t="shared" ca="1" si="2"/>
        <v>VAN&lt;0</v>
      </c>
    </row>
    <row r="47" spans="1:9" x14ac:dyDescent="0.3">
      <c r="A47" s="14">
        <v>45</v>
      </c>
      <c r="B47" s="15">
        <f t="shared" ca="1" si="1"/>
        <v>-1.1351653313989438</v>
      </c>
      <c r="C47" s="16">
        <f ca="1">MAX(0,'1_Inputs'!$B$10*(1+'1_Inputs'!$C$10*$B47))</f>
        <v>22966.933720211218</v>
      </c>
      <c r="D47" s="16">
        <f ca="1">MAX(0,'1_Inputs'!$B$11*(1+'1_Inputs'!$C$11*$B47))</f>
        <v>231890.08011606336</v>
      </c>
      <c r="E47" s="16">
        <f ca="1">MAX(0,'1_Inputs'!$B$12*(1+'1_Inputs'!$C$12*$B47))</f>
        <v>278484.58412186656</v>
      </c>
      <c r="F47" s="16">
        <f ca="1">MAX(0,'1_Inputs'!$B$13*(1+'1_Inputs'!$C$13*$B47))</f>
        <v>318268.09613927605</v>
      </c>
      <c r="G47" s="16">
        <f ca="1">MAX(0,'1_Inputs'!$B$14*(1+'1_Inputs'!$C$14*$B47))</f>
        <v>322293.90021761885</v>
      </c>
      <c r="H47" s="16">
        <f ca="1">NPV('1_Inputs'!$B$5,C47:G47)-'1_Inputs'!$B$4</f>
        <v>-211269.28745280055</v>
      </c>
      <c r="I47" s="14" t="str">
        <f t="shared" ca="1" si="2"/>
        <v>VAN&lt;0</v>
      </c>
    </row>
    <row r="48" spans="1:9" x14ac:dyDescent="0.3">
      <c r="A48" s="14">
        <v>46</v>
      </c>
      <c r="B48" s="15">
        <f t="shared" ca="1" si="1"/>
        <v>-0.16779638843125397</v>
      </c>
      <c r="C48" s="16">
        <f ca="1">MAX(0,'1_Inputs'!$B$10*(1+'1_Inputs'!$C$10*$B48))</f>
        <v>216440.7223137492</v>
      </c>
      <c r="D48" s="16">
        <f ca="1">MAX(0,'1_Inputs'!$B$11*(1+'1_Inputs'!$C$11*$B48))</f>
        <v>289932.21669412474</v>
      </c>
      <c r="E48" s="16">
        <f ca="1">MAX(0,'1_Inputs'!$B$12*(1+'1_Inputs'!$C$12*$B48))</f>
        <v>339428.82752883097</v>
      </c>
      <c r="F48" s="16">
        <f ca="1">MAX(0,'1_Inputs'!$B$13*(1+'1_Inputs'!$C$13*$B48))</f>
        <v>387918.6600329497</v>
      </c>
      <c r="G48" s="16">
        <f ca="1">MAX(0,'1_Inputs'!$B$14*(1+'1_Inputs'!$C$14*$B48))</f>
        <v>431122.90630148392</v>
      </c>
      <c r="H48" s="16">
        <f ca="1">NPV('1_Inputs'!$B$5,C48:G48)-'1_Inputs'!$B$4</f>
        <v>157141.60450226162</v>
      </c>
      <c r="I48" s="14" t="str">
        <f t="shared" ca="1" si="2"/>
        <v>VAN&gt;0</v>
      </c>
    </row>
    <row r="49" spans="1:9" x14ac:dyDescent="0.3">
      <c r="A49" s="14">
        <v>47</v>
      </c>
      <c r="B49" s="15">
        <f t="shared" ca="1" si="1"/>
        <v>1.1877552611635647</v>
      </c>
      <c r="C49" s="16">
        <f ca="1">MAX(0,'1_Inputs'!$B$10*(1+'1_Inputs'!$C$10*$B49))</f>
        <v>487551.05223271297</v>
      </c>
      <c r="D49" s="16">
        <f ca="1">MAX(0,'1_Inputs'!$B$11*(1+'1_Inputs'!$C$11*$B49))</f>
        <v>371265.31566981389</v>
      </c>
      <c r="E49" s="16">
        <f ca="1">MAX(0,'1_Inputs'!$B$12*(1+'1_Inputs'!$C$12*$B49))</f>
        <v>424828.58145330462</v>
      </c>
      <c r="F49" s="16">
        <f ca="1">MAX(0,'1_Inputs'!$B$13*(1+'1_Inputs'!$C$13*$B49))</f>
        <v>485518.37880377669</v>
      </c>
      <c r="G49" s="16">
        <f ca="1">MAX(0,'1_Inputs'!$B$14*(1+'1_Inputs'!$C$14*$B49))</f>
        <v>583622.46688090102</v>
      </c>
      <c r="H49" s="16">
        <f ca="1">NPV('1_Inputs'!$B$5,C49:G49)-'1_Inputs'!$B$4</f>
        <v>673387.23751413613</v>
      </c>
      <c r="I49" s="14" t="str">
        <f t="shared" ca="1" si="2"/>
        <v>VAN&gt;0</v>
      </c>
    </row>
    <row r="50" spans="1:9" x14ac:dyDescent="0.3">
      <c r="A50" s="14">
        <v>48</v>
      </c>
      <c r="B50" s="15">
        <f t="shared" ca="1" si="1"/>
        <v>0.62106560736726124</v>
      </c>
      <c r="C50" s="16">
        <f ca="1">MAX(0,'1_Inputs'!$B$10*(1+'1_Inputs'!$C$10*$B50))</f>
        <v>374213.12147345225</v>
      </c>
      <c r="D50" s="16">
        <f ca="1">MAX(0,'1_Inputs'!$B$11*(1+'1_Inputs'!$C$11*$B50))</f>
        <v>337263.93644203572</v>
      </c>
      <c r="E50" s="16">
        <f ca="1">MAX(0,'1_Inputs'!$B$12*(1+'1_Inputs'!$C$12*$B50))</f>
        <v>389127.13326413743</v>
      </c>
      <c r="F50" s="16">
        <f ca="1">MAX(0,'1_Inputs'!$B$13*(1+'1_Inputs'!$C$13*$B50))</f>
        <v>444716.72373044281</v>
      </c>
      <c r="G50" s="16">
        <f ca="1">MAX(0,'1_Inputs'!$B$14*(1+'1_Inputs'!$C$14*$B50))</f>
        <v>519869.88082881685</v>
      </c>
      <c r="H50" s="16">
        <f ca="1">NPV('1_Inputs'!$B$5,C50:G50)-'1_Inputs'!$B$4</f>
        <v>457570.2606156182</v>
      </c>
      <c r="I50" s="14" t="str">
        <f t="shared" ca="1" si="2"/>
        <v>VAN&gt;0</v>
      </c>
    </row>
    <row r="51" spans="1:9" x14ac:dyDescent="0.3">
      <c r="A51" s="14">
        <v>49</v>
      </c>
      <c r="B51" s="15">
        <f t="shared" ca="1" si="1"/>
        <v>0.92583461883709239</v>
      </c>
      <c r="C51" s="16">
        <f ca="1">MAX(0,'1_Inputs'!$B$10*(1+'1_Inputs'!$C$10*$B51))</f>
        <v>435166.92376741848</v>
      </c>
      <c r="D51" s="16">
        <f ca="1">MAX(0,'1_Inputs'!$B$11*(1+'1_Inputs'!$C$11*$B51))</f>
        <v>355550.07713022555</v>
      </c>
      <c r="E51" s="16">
        <f ca="1">MAX(0,'1_Inputs'!$B$12*(1+'1_Inputs'!$C$12*$B51))</f>
        <v>408327.58098673681</v>
      </c>
      <c r="F51" s="16">
        <f ca="1">MAX(0,'1_Inputs'!$B$13*(1+'1_Inputs'!$C$13*$B51))</f>
        <v>466660.09255627065</v>
      </c>
      <c r="G51" s="16">
        <f ca="1">MAX(0,'1_Inputs'!$B$14*(1+'1_Inputs'!$C$14*$B51))</f>
        <v>554156.3946191729</v>
      </c>
      <c r="H51" s="16">
        <f ca="1">NPV('1_Inputs'!$B$5,C51:G51)-'1_Inputs'!$B$4</f>
        <v>573637.89352040249</v>
      </c>
      <c r="I51" s="14" t="str">
        <f t="shared" ca="1" si="2"/>
        <v>VAN&gt;0</v>
      </c>
    </row>
    <row r="52" spans="1:9" x14ac:dyDescent="0.3">
      <c r="A52" s="14">
        <v>50</v>
      </c>
      <c r="B52" s="15">
        <f t="shared" ca="1" si="1"/>
        <v>-0.14774237690388312</v>
      </c>
      <c r="C52" s="16">
        <f ca="1">MAX(0,'1_Inputs'!$B$10*(1+'1_Inputs'!$C$10*$B52))</f>
        <v>220451.52461922338</v>
      </c>
      <c r="D52" s="16">
        <f ca="1">MAX(0,'1_Inputs'!$B$11*(1+'1_Inputs'!$C$11*$B52))</f>
        <v>291135.45738576702</v>
      </c>
      <c r="E52" s="16">
        <f ca="1">MAX(0,'1_Inputs'!$B$12*(1+'1_Inputs'!$C$12*$B52))</f>
        <v>340692.23025505536</v>
      </c>
      <c r="F52" s="16">
        <f ca="1">MAX(0,'1_Inputs'!$B$13*(1+'1_Inputs'!$C$13*$B52))</f>
        <v>389362.54886292043</v>
      </c>
      <c r="G52" s="16">
        <f ca="1">MAX(0,'1_Inputs'!$B$14*(1+'1_Inputs'!$C$14*$B52))</f>
        <v>433378.98259831313</v>
      </c>
      <c r="H52" s="16">
        <f ca="1">NPV('1_Inputs'!$B$5,C52:G52)-'1_Inputs'!$B$4</f>
        <v>164778.93494147388</v>
      </c>
      <c r="I52" s="14" t="str">
        <f t="shared" ca="1" si="2"/>
        <v>VAN&gt;0</v>
      </c>
    </row>
    <row r="53" spans="1:9" x14ac:dyDescent="0.3">
      <c r="A53" s="14">
        <v>51</v>
      </c>
      <c r="B53" s="15">
        <f t="shared" ca="1" si="1"/>
        <v>-1.061674464060671</v>
      </c>
      <c r="C53" s="16">
        <f ca="1">MAX(0,'1_Inputs'!$B$10*(1+'1_Inputs'!$C$10*$B53))</f>
        <v>37665.107187865782</v>
      </c>
      <c r="D53" s="16">
        <f ca="1">MAX(0,'1_Inputs'!$B$11*(1+'1_Inputs'!$C$11*$B53))</f>
        <v>236299.53215635972</v>
      </c>
      <c r="E53" s="16">
        <f ca="1">MAX(0,'1_Inputs'!$B$12*(1+'1_Inputs'!$C$12*$B53))</f>
        <v>283114.50876417774</v>
      </c>
      <c r="F53" s="16">
        <f ca="1">MAX(0,'1_Inputs'!$B$13*(1+'1_Inputs'!$C$13*$B53))</f>
        <v>323559.43858763168</v>
      </c>
      <c r="G53" s="16">
        <f ca="1">MAX(0,'1_Inputs'!$B$14*(1+'1_Inputs'!$C$14*$B53))</f>
        <v>330561.62279317452</v>
      </c>
      <c r="H53" s="16">
        <f ca="1">NPV('1_Inputs'!$B$5,C53:G53)-'1_Inputs'!$B$4</f>
        <v>-183281.16959614889</v>
      </c>
      <c r="I53" s="14" t="str">
        <f t="shared" ca="1" si="2"/>
        <v>VAN&lt;0</v>
      </c>
    </row>
    <row r="54" spans="1:9" x14ac:dyDescent="0.3">
      <c r="A54" s="14">
        <v>52</v>
      </c>
      <c r="B54" s="15">
        <f t="shared" ca="1" si="1"/>
        <v>0.69159370518826802</v>
      </c>
      <c r="C54" s="16">
        <f ca="1">MAX(0,'1_Inputs'!$B$10*(1+'1_Inputs'!$C$10*$B54))</f>
        <v>388318.74103765364</v>
      </c>
      <c r="D54" s="16">
        <f ca="1">MAX(0,'1_Inputs'!$B$11*(1+'1_Inputs'!$C$11*$B54))</f>
        <v>341495.62231129612</v>
      </c>
      <c r="E54" s="16">
        <f ca="1">MAX(0,'1_Inputs'!$B$12*(1+'1_Inputs'!$C$12*$B54))</f>
        <v>393570.40342686092</v>
      </c>
      <c r="F54" s="16">
        <f ca="1">MAX(0,'1_Inputs'!$B$13*(1+'1_Inputs'!$C$13*$B54))</f>
        <v>449794.74677355535</v>
      </c>
      <c r="G54" s="16">
        <f ca="1">MAX(0,'1_Inputs'!$B$14*(1+'1_Inputs'!$C$14*$B54))</f>
        <v>527804.29183368012</v>
      </c>
      <c r="H54" s="16">
        <f ca="1">NPV('1_Inputs'!$B$5,C54:G54)-'1_Inputs'!$B$4</f>
        <v>484430.04313708283</v>
      </c>
      <c r="I54" s="14" t="str">
        <f t="shared" ca="1" si="2"/>
        <v>VAN&gt;0</v>
      </c>
    </row>
    <row r="55" spans="1:9" x14ac:dyDescent="0.3">
      <c r="A55" s="14">
        <v>53</v>
      </c>
      <c r="B55" s="15">
        <f t="shared" ca="1" si="1"/>
        <v>0.7198480034343202</v>
      </c>
      <c r="C55" s="16">
        <f ca="1">MAX(0,'1_Inputs'!$B$10*(1+'1_Inputs'!$C$10*$B55))</f>
        <v>393969.60068686405</v>
      </c>
      <c r="D55" s="16">
        <f ca="1">MAX(0,'1_Inputs'!$B$11*(1+'1_Inputs'!$C$11*$B55))</f>
        <v>343190.8802060592</v>
      </c>
      <c r="E55" s="16">
        <f ca="1">MAX(0,'1_Inputs'!$B$12*(1+'1_Inputs'!$C$12*$B55))</f>
        <v>395350.42421636218</v>
      </c>
      <c r="F55" s="16">
        <f ca="1">MAX(0,'1_Inputs'!$B$13*(1+'1_Inputs'!$C$13*$B55))</f>
        <v>451829.05624727107</v>
      </c>
      <c r="G55" s="16">
        <f ca="1">MAX(0,'1_Inputs'!$B$14*(1+'1_Inputs'!$C$14*$B55))</f>
        <v>530982.90038636106</v>
      </c>
      <c r="H55" s="16">
        <f ca="1">NPV('1_Inputs'!$B$5,C55:G55)-'1_Inputs'!$B$4</f>
        <v>495190.35469562723</v>
      </c>
      <c r="I55" s="14" t="str">
        <f t="shared" ca="1" si="2"/>
        <v>VAN&gt;0</v>
      </c>
    </row>
    <row r="56" spans="1:9" x14ac:dyDescent="0.3">
      <c r="A56" s="14">
        <v>54</v>
      </c>
      <c r="B56" s="15">
        <f t="shared" ca="1" si="1"/>
        <v>-1.1473453922483103</v>
      </c>
      <c r="C56" s="16">
        <f ca="1">MAX(0,'1_Inputs'!$B$10*(1+'1_Inputs'!$C$10*$B56))</f>
        <v>20530.92155033792</v>
      </c>
      <c r="D56" s="16">
        <f ca="1">MAX(0,'1_Inputs'!$B$11*(1+'1_Inputs'!$C$11*$B56))</f>
        <v>231159.2764651014</v>
      </c>
      <c r="E56" s="16">
        <f ca="1">MAX(0,'1_Inputs'!$B$12*(1+'1_Inputs'!$C$12*$B56))</f>
        <v>277717.24028835649</v>
      </c>
      <c r="F56" s="16">
        <f ca="1">MAX(0,'1_Inputs'!$B$13*(1+'1_Inputs'!$C$13*$B56))</f>
        <v>317391.13175812166</v>
      </c>
      <c r="G56" s="16">
        <f ca="1">MAX(0,'1_Inputs'!$B$14*(1+'1_Inputs'!$C$14*$B56))</f>
        <v>320923.6433720651</v>
      </c>
      <c r="H56" s="16">
        <f ca="1">NPV('1_Inputs'!$B$5,C56:G56)-'1_Inputs'!$B$4</f>
        <v>-215907.9179507118</v>
      </c>
      <c r="I56" s="14" t="str">
        <f t="shared" ca="1" si="2"/>
        <v>VAN&lt;0</v>
      </c>
    </row>
    <row r="57" spans="1:9" x14ac:dyDescent="0.3">
      <c r="A57" s="14">
        <v>55</v>
      </c>
      <c r="B57" s="15">
        <f t="shared" ca="1" si="1"/>
        <v>1.7921394079121851</v>
      </c>
      <c r="C57" s="16">
        <f ca="1">MAX(0,'1_Inputs'!$B$10*(1+'1_Inputs'!$C$10*$B57))</f>
        <v>608427.88158243708</v>
      </c>
      <c r="D57" s="16">
        <f ca="1">MAX(0,'1_Inputs'!$B$11*(1+'1_Inputs'!$C$11*$B57))</f>
        <v>407528.36447473115</v>
      </c>
      <c r="E57" s="16">
        <f ca="1">MAX(0,'1_Inputs'!$B$12*(1+'1_Inputs'!$C$12*$B57))</f>
        <v>462904.78269846766</v>
      </c>
      <c r="F57" s="16">
        <f ca="1">MAX(0,'1_Inputs'!$B$13*(1+'1_Inputs'!$C$13*$B57))</f>
        <v>529034.03736967733</v>
      </c>
      <c r="G57" s="16">
        <f ca="1">MAX(0,'1_Inputs'!$B$14*(1+'1_Inputs'!$C$14*$B57))</f>
        <v>651615.68339012074</v>
      </c>
      <c r="H57" s="16">
        <f ca="1">NPV('1_Inputs'!$B$5,C57:G57)-'1_Inputs'!$B$4</f>
        <v>903559.71121799271</v>
      </c>
      <c r="I57" s="14" t="str">
        <f t="shared" ca="1" si="2"/>
        <v>VAN&gt;0</v>
      </c>
    </row>
    <row r="58" spans="1:9" x14ac:dyDescent="0.3">
      <c r="A58" s="14">
        <v>56</v>
      </c>
      <c r="B58" s="15">
        <f t="shared" ca="1" si="1"/>
        <v>0.53610134788236297</v>
      </c>
      <c r="C58" s="16">
        <f ca="1">MAX(0,'1_Inputs'!$B$10*(1+'1_Inputs'!$C$10*$B58))</f>
        <v>357220.26957647258</v>
      </c>
      <c r="D58" s="16">
        <f ca="1">MAX(0,'1_Inputs'!$B$11*(1+'1_Inputs'!$C$11*$B58))</f>
        <v>332166.08087294176</v>
      </c>
      <c r="E58" s="16">
        <f ca="1">MAX(0,'1_Inputs'!$B$12*(1+'1_Inputs'!$C$12*$B58))</f>
        <v>383774.3849165889</v>
      </c>
      <c r="F58" s="16">
        <f ca="1">MAX(0,'1_Inputs'!$B$13*(1+'1_Inputs'!$C$13*$B58))</f>
        <v>438599.29704753018</v>
      </c>
      <c r="G58" s="16">
        <f ca="1">MAX(0,'1_Inputs'!$B$14*(1+'1_Inputs'!$C$14*$B58))</f>
        <v>510311.40163676586</v>
      </c>
      <c r="H58" s="16">
        <f ca="1">NPV('1_Inputs'!$B$5,C58:G58)-'1_Inputs'!$B$4</f>
        <v>425212.63858456002</v>
      </c>
      <c r="I58" s="14" t="str">
        <f t="shared" ca="1" si="2"/>
        <v>VAN&gt;0</v>
      </c>
    </row>
    <row r="59" spans="1:9" x14ac:dyDescent="0.3">
      <c r="A59" s="14">
        <v>57</v>
      </c>
      <c r="B59" s="15">
        <f t="shared" ca="1" si="1"/>
        <v>0.16606839937622925</v>
      </c>
      <c r="C59" s="16">
        <f ca="1">MAX(0,'1_Inputs'!$B$10*(1+'1_Inputs'!$C$10*$B59))</f>
        <v>283213.6798752459</v>
      </c>
      <c r="D59" s="16">
        <f ca="1">MAX(0,'1_Inputs'!$B$11*(1+'1_Inputs'!$C$11*$B59))</f>
        <v>309964.10396257375</v>
      </c>
      <c r="E59" s="16">
        <f ca="1">MAX(0,'1_Inputs'!$B$12*(1+'1_Inputs'!$C$12*$B59))</f>
        <v>360462.30916070245</v>
      </c>
      <c r="F59" s="16">
        <f ca="1">MAX(0,'1_Inputs'!$B$13*(1+'1_Inputs'!$C$13*$B59))</f>
        <v>411956.92475508852</v>
      </c>
      <c r="G59" s="16">
        <f ca="1">MAX(0,'1_Inputs'!$B$14*(1+'1_Inputs'!$C$14*$B59))</f>
        <v>468682.69492982578</v>
      </c>
      <c r="H59" s="16">
        <f ca="1">NPV('1_Inputs'!$B$5,C59:G59)-'1_Inputs'!$B$4</f>
        <v>284290.01583248819</v>
      </c>
      <c r="I59" s="14" t="str">
        <f t="shared" ca="1" si="2"/>
        <v>VAN&gt;0</v>
      </c>
    </row>
    <row r="60" spans="1:9" x14ac:dyDescent="0.3">
      <c r="A60" s="14">
        <v>58</v>
      </c>
      <c r="B60" s="15">
        <f t="shared" ca="1" si="1"/>
        <v>-1.5923126720297425</v>
      </c>
      <c r="C60" s="16">
        <f ca="1">MAX(0,'1_Inputs'!$B$10*(1+'1_Inputs'!$C$10*$B60))</f>
        <v>0</v>
      </c>
      <c r="D60" s="16">
        <f ca="1">MAX(0,'1_Inputs'!$B$11*(1+'1_Inputs'!$C$11*$B60))</f>
        <v>204461.23967821544</v>
      </c>
      <c r="E60" s="16">
        <f ca="1">MAX(0,'1_Inputs'!$B$12*(1+'1_Inputs'!$C$12*$B60))</f>
        <v>249684.30166212624</v>
      </c>
      <c r="F60" s="16">
        <f ca="1">MAX(0,'1_Inputs'!$B$13*(1+'1_Inputs'!$C$13*$B60))</f>
        <v>285353.48761385854</v>
      </c>
      <c r="G60" s="16">
        <f ca="1">MAX(0,'1_Inputs'!$B$14*(1+'1_Inputs'!$C$14*$B60))</f>
        <v>270864.82439665397</v>
      </c>
      <c r="H60" s="16">
        <f ca="1">NPV('1_Inputs'!$B$5,C60:G60)-'1_Inputs'!$B$4</f>
        <v>-324241.1216732082</v>
      </c>
      <c r="I60" s="14" t="str">
        <f t="shared" ca="1" si="2"/>
        <v>VAN&lt;0</v>
      </c>
    </row>
    <row r="61" spans="1:9" x14ac:dyDescent="0.3">
      <c r="A61" s="14">
        <v>59</v>
      </c>
      <c r="B61" s="15">
        <f t="shared" ca="1" si="1"/>
        <v>-0.87473878051016107</v>
      </c>
      <c r="C61" s="16">
        <f ca="1">MAX(0,'1_Inputs'!$B$10*(1+'1_Inputs'!$C$10*$B61))</f>
        <v>75052.243897967768</v>
      </c>
      <c r="D61" s="16">
        <f ca="1">MAX(0,'1_Inputs'!$B$11*(1+'1_Inputs'!$C$11*$B61))</f>
        <v>247515.67316939033</v>
      </c>
      <c r="E61" s="16">
        <f ca="1">MAX(0,'1_Inputs'!$B$12*(1+'1_Inputs'!$C$12*$B61))</f>
        <v>294891.45682785986</v>
      </c>
      <c r="F61" s="16">
        <f ca="1">MAX(0,'1_Inputs'!$B$13*(1+'1_Inputs'!$C$13*$B61))</f>
        <v>337018.80780326843</v>
      </c>
      <c r="G61" s="16">
        <f ca="1">MAX(0,'1_Inputs'!$B$14*(1+'1_Inputs'!$C$14*$B61))</f>
        <v>351591.88719260687</v>
      </c>
      <c r="H61" s="16">
        <f ca="1">NPV('1_Inputs'!$B$5,C61:G61)-'1_Inputs'!$B$4</f>
        <v>-112088.95031340444</v>
      </c>
      <c r="I61" s="14" t="str">
        <f t="shared" ca="1" si="2"/>
        <v>VAN&lt;0</v>
      </c>
    </row>
    <row r="62" spans="1:9" x14ac:dyDescent="0.3">
      <c r="A62" s="14">
        <v>60</v>
      </c>
      <c r="B62" s="15">
        <f t="shared" ca="1" si="1"/>
        <v>-1.789995427925912</v>
      </c>
      <c r="C62" s="16">
        <f ca="1">MAX(0,'1_Inputs'!$B$10*(1+'1_Inputs'!$C$10*$B62))</f>
        <v>0</v>
      </c>
      <c r="D62" s="16">
        <f ca="1">MAX(0,'1_Inputs'!$B$11*(1+'1_Inputs'!$C$11*$B62))</f>
        <v>192600.27432444526</v>
      </c>
      <c r="E62" s="16">
        <f ca="1">MAX(0,'1_Inputs'!$B$12*(1+'1_Inputs'!$C$12*$B62))</f>
        <v>237230.28804066757</v>
      </c>
      <c r="F62" s="16">
        <f ca="1">MAX(0,'1_Inputs'!$B$13*(1+'1_Inputs'!$C$13*$B62))</f>
        <v>271120.32918933436</v>
      </c>
      <c r="G62" s="16">
        <f ca="1">MAX(0,'1_Inputs'!$B$14*(1+'1_Inputs'!$C$14*$B62))</f>
        <v>248625.51435833491</v>
      </c>
      <c r="H62" s="16">
        <f ca="1">NPV('1_Inputs'!$B$5,C62:G62)-'1_Inputs'!$B$4</f>
        <v>-364225.74279681162</v>
      </c>
      <c r="I62" s="14" t="str">
        <f t="shared" ca="1" si="2"/>
        <v>VAN&lt;0</v>
      </c>
    </row>
    <row r="63" spans="1:9" x14ac:dyDescent="0.3">
      <c r="A63" s="14">
        <v>61</v>
      </c>
      <c r="B63" s="15">
        <f t="shared" ca="1" si="1"/>
        <v>-0.82053703726780058</v>
      </c>
      <c r="C63" s="16">
        <f ca="1">MAX(0,'1_Inputs'!$B$10*(1+'1_Inputs'!$C$10*$B63))</f>
        <v>85892.59254643989</v>
      </c>
      <c r="D63" s="16">
        <f ca="1">MAX(0,'1_Inputs'!$B$11*(1+'1_Inputs'!$C$11*$B63))</f>
        <v>250767.77776393195</v>
      </c>
      <c r="E63" s="16">
        <f ca="1">MAX(0,'1_Inputs'!$B$12*(1+'1_Inputs'!$C$12*$B63))</f>
        <v>298306.16665212857</v>
      </c>
      <c r="F63" s="16">
        <f ca="1">MAX(0,'1_Inputs'!$B$13*(1+'1_Inputs'!$C$13*$B63))</f>
        <v>340921.33331671834</v>
      </c>
      <c r="G63" s="16">
        <f ca="1">MAX(0,'1_Inputs'!$B$14*(1+'1_Inputs'!$C$14*$B63))</f>
        <v>357689.58330737241</v>
      </c>
      <c r="H63" s="16">
        <f ca="1">NPV('1_Inputs'!$B$5,C63:G63)-'1_Inputs'!$B$4</f>
        <v>-91446.864665938774</v>
      </c>
      <c r="I63" s="14" t="str">
        <f t="shared" ca="1" si="2"/>
        <v>VAN&lt;0</v>
      </c>
    </row>
    <row r="64" spans="1:9" x14ac:dyDescent="0.3">
      <c r="A64" s="14">
        <v>62</v>
      </c>
      <c r="B64" s="15">
        <f t="shared" ca="1" si="1"/>
        <v>-0.5344582444383319</v>
      </c>
      <c r="C64" s="16">
        <f ca="1">MAX(0,'1_Inputs'!$B$10*(1+'1_Inputs'!$C$10*$B64))</f>
        <v>143108.35111233362</v>
      </c>
      <c r="D64" s="16">
        <f ca="1">MAX(0,'1_Inputs'!$B$11*(1+'1_Inputs'!$C$11*$B64))</f>
        <v>267932.5053337001</v>
      </c>
      <c r="E64" s="16">
        <f ca="1">MAX(0,'1_Inputs'!$B$12*(1+'1_Inputs'!$C$12*$B64))</f>
        <v>316329.13060038508</v>
      </c>
      <c r="F64" s="16">
        <f ca="1">MAX(0,'1_Inputs'!$B$13*(1+'1_Inputs'!$C$13*$B64))</f>
        <v>361519.00640044012</v>
      </c>
      <c r="G64" s="16">
        <f ca="1">MAX(0,'1_Inputs'!$B$14*(1+'1_Inputs'!$C$14*$B64))</f>
        <v>389873.44750068767</v>
      </c>
      <c r="H64" s="16">
        <f ca="1">NPV('1_Inputs'!$B$5,C64:G64)-'1_Inputs'!$B$4</f>
        <v>17502.822009346914</v>
      </c>
      <c r="I64" s="14" t="str">
        <f t="shared" ca="1" si="2"/>
        <v>VAN&gt;0</v>
      </c>
    </row>
    <row r="65" spans="1:9" x14ac:dyDescent="0.3">
      <c r="A65" s="14">
        <v>63</v>
      </c>
      <c r="B65" s="15">
        <f t="shared" ca="1" si="1"/>
        <v>1.1234641531887624</v>
      </c>
      <c r="C65" s="16">
        <f ca="1">MAX(0,'1_Inputs'!$B$10*(1+'1_Inputs'!$C$10*$B65))</f>
        <v>474692.83063775249</v>
      </c>
      <c r="D65" s="16">
        <f ca="1">MAX(0,'1_Inputs'!$B$11*(1+'1_Inputs'!$C$11*$B65))</f>
        <v>367407.84919132572</v>
      </c>
      <c r="E65" s="16">
        <f ca="1">MAX(0,'1_Inputs'!$B$12*(1+'1_Inputs'!$C$12*$B65))</f>
        <v>420778.24165089207</v>
      </c>
      <c r="F65" s="16">
        <f ca="1">MAX(0,'1_Inputs'!$B$13*(1+'1_Inputs'!$C$13*$B65))</f>
        <v>480889.41902959091</v>
      </c>
      <c r="G65" s="16">
        <f ca="1">MAX(0,'1_Inputs'!$B$14*(1+'1_Inputs'!$C$14*$B65))</f>
        <v>576389.71723373572</v>
      </c>
      <c r="H65" s="16">
        <f ca="1">NPV('1_Inputs'!$B$5,C65:G65)-'1_Inputs'!$B$4</f>
        <v>648902.73797964258</v>
      </c>
      <c r="I65" s="14" t="str">
        <f t="shared" ca="1" si="2"/>
        <v>VAN&gt;0</v>
      </c>
    </row>
    <row r="66" spans="1:9" x14ac:dyDescent="0.3">
      <c r="A66" s="14">
        <v>64</v>
      </c>
      <c r="B66" s="15">
        <f t="shared" ca="1" si="1"/>
        <v>-1.2887815274474845</v>
      </c>
      <c r="C66" s="16">
        <f ca="1">MAX(0,'1_Inputs'!$B$10*(1+'1_Inputs'!$C$10*$B66))</f>
        <v>0</v>
      </c>
      <c r="D66" s="16">
        <f ca="1">MAX(0,'1_Inputs'!$B$11*(1+'1_Inputs'!$C$11*$B66))</f>
        <v>222673.10835315092</v>
      </c>
      <c r="E66" s="16">
        <f ca="1">MAX(0,'1_Inputs'!$B$12*(1+'1_Inputs'!$C$12*$B66))</f>
        <v>268806.76377080847</v>
      </c>
      <c r="F66" s="16">
        <f ca="1">MAX(0,'1_Inputs'!$B$13*(1+'1_Inputs'!$C$13*$B66))</f>
        <v>307207.73002378113</v>
      </c>
      <c r="G66" s="16">
        <f ca="1">MAX(0,'1_Inputs'!$B$14*(1+'1_Inputs'!$C$14*$B66))</f>
        <v>305012.07816215797</v>
      </c>
      <c r="H66" s="16">
        <f ca="1">NPV('1_Inputs'!$B$5,C66:G66)-'1_Inputs'!$B$4</f>
        <v>-262846.90567133366</v>
      </c>
      <c r="I66" s="14" t="str">
        <f t="shared" ca="1" si="2"/>
        <v>VAN&lt;0</v>
      </c>
    </row>
    <row r="67" spans="1:9" x14ac:dyDescent="0.3">
      <c r="A67" s="14">
        <v>65</v>
      </c>
      <c r="B67" s="15">
        <f t="shared" ca="1" si="1"/>
        <v>1.0224488808037742</v>
      </c>
      <c r="C67" s="16">
        <f ca="1">MAX(0,'1_Inputs'!$B$10*(1+'1_Inputs'!$C$10*$B67))</f>
        <v>454489.77616075479</v>
      </c>
      <c r="D67" s="16">
        <f ca="1">MAX(0,'1_Inputs'!$B$11*(1+'1_Inputs'!$C$11*$B67))</f>
        <v>361346.93284822645</v>
      </c>
      <c r="E67" s="16">
        <f ca="1">MAX(0,'1_Inputs'!$B$12*(1+'1_Inputs'!$C$12*$B67))</f>
        <v>414414.27949063771</v>
      </c>
      <c r="F67" s="16">
        <f ca="1">MAX(0,'1_Inputs'!$B$13*(1+'1_Inputs'!$C$13*$B67))</f>
        <v>473616.31941787171</v>
      </c>
      <c r="G67" s="16">
        <f ca="1">MAX(0,'1_Inputs'!$B$14*(1+'1_Inputs'!$C$14*$B67))</f>
        <v>565025.49909042451</v>
      </c>
      <c r="H67" s="16">
        <f ca="1">NPV('1_Inputs'!$B$5,C67:G67)-'1_Inputs'!$B$4</f>
        <v>610432.27965970826</v>
      </c>
      <c r="I67" s="14" t="str">
        <f t="shared" ref="I67:I98" ca="1" si="3">IF(H67&gt;0,"VAN&gt;0","VAN&lt;0")</f>
        <v>VAN&gt;0</v>
      </c>
    </row>
    <row r="68" spans="1:9" x14ac:dyDescent="0.3">
      <c r="A68" s="14">
        <v>66</v>
      </c>
      <c r="B68" s="15">
        <f t="shared" ref="B68:B131" ca="1" si="4">NORMINV(RAND(),0,1)</f>
        <v>-1.2931681551877734</v>
      </c>
      <c r="C68" s="16">
        <f ca="1">MAX(0,'1_Inputs'!$B$10*(1+'1_Inputs'!$C$10*$B68))</f>
        <v>0</v>
      </c>
      <c r="D68" s="16">
        <f ca="1">MAX(0,'1_Inputs'!$B$11*(1+'1_Inputs'!$C$11*$B68))</f>
        <v>222409.91068873357</v>
      </c>
      <c r="E68" s="16">
        <f ca="1">MAX(0,'1_Inputs'!$B$12*(1+'1_Inputs'!$C$12*$B68))</f>
        <v>268530.40622317028</v>
      </c>
      <c r="F68" s="16">
        <f ca="1">MAX(0,'1_Inputs'!$B$13*(1+'1_Inputs'!$C$13*$B68))</f>
        <v>306891.89282648033</v>
      </c>
      <c r="G68" s="16">
        <f ca="1">MAX(0,'1_Inputs'!$B$14*(1+'1_Inputs'!$C$14*$B68))</f>
        <v>304518.58254137548</v>
      </c>
      <c r="H68" s="16">
        <f ca="1">NPV('1_Inputs'!$B$5,C68:G68)-'1_Inputs'!$B$4</f>
        <v>-263734.17399886472</v>
      </c>
      <c r="I68" s="14" t="str">
        <f t="shared" ca="1" si="3"/>
        <v>VAN&lt;0</v>
      </c>
    </row>
    <row r="69" spans="1:9" x14ac:dyDescent="0.3">
      <c r="A69" s="14">
        <v>67</v>
      </c>
      <c r="B69" s="15">
        <f t="shared" ca="1" si="4"/>
        <v>-0.20534969687398921</v>
      </c>
      <c r="C69" s="16">
        <f ca="1">MAX(0,'1_Inputs'!$B$10*(1+'1_Inputs'!$C$10*$B69))</f>
        <v>208930.06062520214</v>
      </c>
      <c r="D69" s="16">
        <f ca="1">MAX(0,'1_Inputs'!$B$11*(1+'1_Inputs'!$C$11*$B69))</f>
        <v>287679.01818756066</v>
      </c>
      <c r="E69" s="16">
        <f ca="1">MAX(0,'1_Inputs'!$B$12*(1+'1_Inputs'!$C$12*$B69))</f>
        <v>337062.96909693867</v>
      </c>
      <c r="F69" s="16">
        <f ca="1">MAX(0,'1_Inputs'!$B$13*(1+'1_Inputs'!$C$13*$B69))</f>
        <v>385214.82182507281</v>
      </c>
      <c r="G69" s="16">
        <f ca="1">MAX(0,'1_Inputs'!$B$14*(1+'1_Inputs'!$C$14*$B69))</f>
        <v>426898.1591016762</v>
      </c>
      <c r="H69" s="16">
        <f ca="1">NPV('1_Inputs'!$B$5,C69:G69)-'1_Inputs'!$B$4</f>
        <v>142839.87612879463</v>
      </c>
      <c r="I69" s="14" t="str">
        <f t="shared" ca="1" si="3"/>
        <v>VAN&gt;0</v>
      </c>
    </row>
    <row r="70" spans="1:9" x14ac:dyDescent="0.3">
      <c r="A70" s="14">
        <v>68</v>
      </c>
      <c r="B70" s="15">
        <f t="shared" ca="1" si="4"/>
        <v>-1.2651680783102848</v>
      </c>
      <c r="C70" s="16">
        <f ca="1">MAX(0,'1_Inputs'!$B$10*(1+'1_Inputs'!$C$10*$B70))</f>
        <v>0</v>
      </c>
      <c r="D70" s="16">
        <f ca="1">MAX(0,'1_Inputs'!$B$11*(1+'1_Inputs'!$C$11*$B70))</f>
        <v>224089.91530138292</v>
      </c>
      <c r="E70" s="16">
        <f ca="1">MAX(0,'1_Inputs'!$B$12*(1+'1_Inputs'!$C$12*$B70))</f>
        <v>270294.41106645204</v>
      </c>
      <c r="F70" s="16">
        <f ca="1">MAX(0,'1_Inputs'!$B$13*(1+'1_Inputs'!$C$13*$B70))</f>
        <v>308907.89836165949</v>
      </c>
      <c r="G70" s="16">
        <f ca="1">MAX(0,'1_Inputs'!$B$14*(1+'1_Inputs'!$C$14*$B70))</f>
        <v>307668.59119009296</v>
      </c>
      <c r="H70" s="16">
        <f ca="1">NPV('1_Inputs'!$B$5,C70:G70)-'1_Inputs'!$B$4</f>
        <v>-258070.6933361094</v>
      </c>
      <c r="I70" s="14" t="str">
        <f t="shared" ca="1" si="3"/>
        <v>VAN&lt;0</v>
      </c>
    </row>
    <row r="71" spans="1:9" x14ac:dyDescent="0.3">
      <c r="A71" s="14">
        <v>69</v>
      </c>
      <c r="B71" s="15">
        <f t="shared" ca="1" si="4"/>
        <v>-7.2722658294468764E-2</v>
      </c>
      <c r="C71" s="16">
        <f ca="1">MAX(0,'1_Inputs'!$B$10*(1+'1_Inputs'!$C$10*$B71))</f>
        <v>235455.46834110626</v>
      </c>
      <c r="D71" s="16">
        <f ca="1">MAX(0,'1_Inputs'!$B$11*(1+'1_Inputs'!$C$11*$B71))</f>
        <v>295636.64050233184</v>
      </c>
      <c r="E71" s="16">
        <f ca="1">MAX(0,'1_Inputs'!$B$12*(1+'1_Inputs'!$C$12*$B71))</f>
        <v>345418.4725274485</v>
      </c>
      <c r="F71" s="16">
        <f ca="1">MAX(0,'1_Inputs'!$B$13*(1+'1_Inputs'!$C$13*$B71))</f>
        <v>394763.96860279824</v>
      </c>
      <c r="G71" s="16">
        <f ca="1">MAX(0,'1_Inputs'!$B$14*(1+'1_Inputs'!$C$14*$B71))</f>
        <v>441818.70094187226</v>
      </c>
      <c r="H71" s="16">
        <f ca="1">NPV('1_Inputs'!$B$5,C71:G71)-'1_Inputs'!$B$4</f>
        <v>193349.29751929664</v>
      </c>
      <c r="I71" s="14" t="str">
        <f t="shared" ca="1" si="3"/>
        <v>VAN&gt;0</v>
      </c>
    </row>
    <row r="72" spans="1:9" x14ac:dyDescent="0.3">
      <c r="A72" s="14">
        <v>70</v>
      </c>
      <c r="B72" s="15">
        <f t="shared" ca="1" si="4"/>
        <v>0.56542360524022339</v>
      </c>
      <c r="C72" s="16">
        <f ca="1">MAX(0,'1_Inputs'!$B$10*(1+'1_Inputs'!$C$10*$B72))</f>
        <v>363084.72104804468</v>
      </c>
      <c r="D72" s="16">
        <f ca="1">MAX(0,'1_Inputs'!$B$11*(1+'1_Inputs'!$C$11*$B72))</f>
        <v>333925.41631441336</v>
      </c>
      <c r="E72" s="16">
        <f ca="1">MAX(0,'1_Inputs'!$B$12*(1+'1_Inputs'!$C$12*$B72))</f>
        <v>385621.68713013403</v>
      </c>
      <c r="F72" s="16">
        <f ca="1">MAX(0,'1_Inputs'!$B$13*(1+'1_Inputs'!$C$13*$B72))</f>
        <v>440710.49957729602</v>
      </c>
      <c r="G72" s="16">
        <f ca="1">MAX(0,'1_Inputs'!$B$14*(1+'1_Inputs'!$C$14*$B72))</f>
        <v>513610.15558952512</v>
      </c>
      <c r="H72" s="16">
        <f ca="1">NPV('1_Inputs'!$B$5,C72:G72)-'1_Inputs'!$B$4</f>
        <v>436379.66959777917</v>
      </c>
      <c r="I72" s="14" t="str">
        <f t="shared" ca="1" si="3"/>
        <v>VAN&gt;0</v>
      </c>
    </row>
    <row r="73" spans="1:9" x14ac:dyDescent="0.3">
      <c r="A73" s="14">
        <v>71</v>
      </c>
      <c r="B73" s="15">
        <f t="shared" ca="1" si="4"/>
        <v>0.22671256005463453</v>
      </c>
      <c r="C73" s="16">
        <f ca="1">MAX(0,'1_Inputs'!$B$10*(1+'1_Inputs'!$C$10*$B73))</f>
        <v>295342.5120109269</v>
      </c>
      <c r="D73" s="16">
        <f ca="1">MAX(0,'1_Inputs'!$B$11*(1+'1_Inputs'!$C$11*$B73))</f>
        <v>313602.75360327808</v>
      </c>
      <c r="E73" s="16">
        <f ca="1">MAX(0,'1_Inputs'!$B$12*(1+'1_Inputs'!$C$12*$B73))</f>
        <v>364282.89128344192</v>
      </c>
      <c r="F73" s="16">
        <f ca="1">MAX(0,'1_Inputs'!$B$13*(1+'1_Inputs'!$C$13*$B73))</f>
        <v>416323.30432393367</v>
      </c>
      <c r="G73" s="16">
        <f ca="1">MAX(0,'1_Inputs'!$B$14*(1+'1_Inputs'!$C$14*$B73))</f>
        <v>475505.16300614638</v>
      </c>
      <c r="H73" s="16">
        <f ca="1">NPV('1_Inputs'!$B$5,C73:G73)-'1_Inputs'!$B$4</f>
        <v>307385.61910754978</v>
      </c>
      <c r="I73" s="14" t="str">
        <f t="shared" ca="1" si="3"/>
        <v>VAN&gt;0</v>
      </c>
    </row>
    <row r="74" spans="1:9" x14ac:dyDescent="0.3">
      <c r="A74" s="14">
        <v>72</v>
      </c>
      <c r="B74" s="15">
        <f t="shared" ca="1" si="4"/>
        <v>-0.60309336994126761</v>
      </c>
      <c r="C74" s="16">
        <f ca="1">MAX(0,'1_Inputs'!$B$10*(1+'1_Inputs'!$C$10*$B74))</f>
        <v>129381.32601174645</v>
      </c>
      <c r="D74" s="16">
        <f ca="1">MAX(0,'1_Inputs'!$B$11*(1+'1_Inputs'!$C$11*$B74))</f>
        <v>263814.39780352393</v>
      </c>
      <c r="E74" s="16">
        <f ca="1">MAX(0,'1_Inputs'!$B$12*(1+'1_Inputs'!$C$12*$B74))</f>
        <v>312005.11769370013</v>
      </c>
      <c r="F74" s="16">
        <f ca="1">MAX(0,'1_Inputs'!$B$13*(1+'1_Inputs'!$C$13*$B74))</f>
        <v>356577.27736422874</v>
      </c>
      <c r="G74" s="16">
        <f ca="1">MAX(0,'1_Inputs'!$B$14*(1+'1_Inputs'!$C$14*$B74))</f>
        <v>382151.99588160741</v>
      </c>
      <c r="H74" s="16">
        <f ca="1">NPV('1_Inputs'!$B$5,C74:G74)-'1_Inputs'!$B$4</f>
        <v>-8636.0446452018805</v>
      </c>
      <c r="I74" s="14" t="str">
        <f t="shared" ca="1" si="3"/>
        <v>VAN&lt;0</v>
      </c>
    </row>
    <row r="75" spans="1:9" x14ac:dyDescent="0.3">
      <c r="A75" s="14">
        <v>73</v>
      </c>
      <c r="B75" s="15">
        <f t="shared" ca="1" si="4"/>
        <v>-2.2865745968277023</v>
      </c>
      <c r="C75" s="16">
        <f ca="1">MAX(0,'1_Inputs'!$B$10*(1+'1_Inputs'!$C$10*$B75))</f>
        <v>0</v>
      </c>
      <c r="D75" s="16">
        <f ca="1">MAX(0,'1_Inputs'!$B$11*(1+'1_Inputs'!$C$11*$B75))</f>
        <v>162805.52419033786</v>
      </c>
      <c r="E75" s="16">
        <f ca="1">MAX(0,'1_Inputs'!$B$12*(1+'1_Inputs'!$C$12*$B75))</f>
        <v>205945.80039985475</v>
      </c>
      <c r="F75" s="16">
        <f ca="1">MAX(0,'1_Inputs'!$B$13*(1+'1_Inputs'!$C$13*$B75))</f>
        <v>235366.62902840541</v>
      </c>
      <c r="G75" s="16">
        <f ca="1">MAX(0,'1_Inputs'!$B$14*(1+'1_Inputs'!$C$14*$B75))</f>
        <v>192760.35785688349</v>
      </c>
      <c r="H75" s="16">
        <f ca="1">NPV('1_Inputs'!$B$5,C75:G75)-'1_Inputs'!$B$4</f>
        <v>-464667.12847255997</v>
      </c>
      <c r="I75" s="14" t="str">
        <f t="shared" ca="1" si="3"/>
        <v>VAN&lt;0</v>
      </c>
    </row>
    <row r="76" spans="1:9" x14ac:dyDescent="0.3">
      <c r="A76" s="14">
        <v>74</v>
      </c>
      <c r="B76" s="15">
        <f t="shared" ca="1" si="4"/>
        <v>0.1066291246685204</v>
      </c>
      <c r="C76" s="16">
        <f ca="1">MAX(0,'1_Inputs'!$B$10*(1+'1_Inputs'!$C$10*$B76))</f>
        <v>271325.82493370405</v>
      </c>
      <c r="D76" s="16">
        <f ca="1">MAX(0,'1_Inputs'!$B$11*(1+'1_Inputs'!$C$11*$B76))</f>
        <v>306397.7474801112</v>
      </c>
      <c r="E76" s="16">
        <f ca="1">MAX(0,'1_Inputs'!$B$12*(1+'1_Inputs'!$C$12*$B76))</f>
        <v>356717.63485411677</v>
      </c>
      <c r="F76" s="16">
        <f ca="1">MAX(0,'1_Inputs'!$B$13*(1+'1_Inputs'!$C$13*$B76))</f>
        <v>407677.29697613342</v>
      </c>
      <c r="G76" s="16">
        <f ca="1">MAX(0,'1_Inputs'!$B$14*(1+'1_Inputs'!$C$14*$B76))</f>
        <v>461995.77652520855</v>
      </c>
      <c r="H76" s="16">
        <f ca="1">NPV('1_Inputs'!$B$5,C76:G76)-'1_Inputs'!$B$4</f>
        <v>261653.27896862919</v>
      </c>
      <c r="I76" s="14" t="str">
        <f t="shared" ca="1" si="3"/>
        <v>VAN&gt;0</v>
      </c>
    </row>
    <row r="77" spans="1:9" x14ac:dyDescent="0.3">
      <c r="A77" s="14">
        <v>75</v>
      </c>
      <c r="B77" s="15">
        <f t="shared" ca="1" si="4"/>
        <v>0.54725472675753084</v>
      </c>
      <c r="C77" s="16">
        <f ca="1">MAX(0,'1_Inputs'!$B$10*(1+'1_Inputs'!$C$10*$B77))</f>
        <v>359450.94535150618</v>
      </c>
      <c r="D77" s="16">
        <f ca="1">MAX(0,'1_Inputs'!$B$11*(1+'1_Inputs'!$C$11*$B77))</f>
        <v>332835.28360545187</v>
      </c>
      <c r="E77" s="16">
        <f ca="1">MAX(0,'1_Inputs'!$B$12*(1+'1_Inputs'!$C$12*$B77))</f>
        <v>384477.0477857244</v>
      </c>
      <c r="F77" s="16">
        <f ca="1">MAX(0,'1_Inputs'!$B$13*(1+'1_Inputs'!$C$13*$B77))</f>
        <v>439402.34032654215</v>
      </c>
      <c r="G77" s="16">
        <f ca="1">MAX(0,'1_Inputs'!$B$14*(1+'1_Inputs'!$C$14*$B77))</f>
        <v>511566.15676022228</v>
      </c>
      <c r="H77" s="16">
        <f ca="1">NPV('1_Inputs'!$B$5,C77:G77)-'1_Inputs'!$B$4</f>
        <v>429460.26953197038</v>
      </c>
      <c r="I77" s="14" t="str">
        <f t="shared" ca="1" si="3"/>
        <v>VAN&gt;0</v>
      </c>
    </row>
    <row r="78" spans="1:9" x14ac:dyDescent="0.3">
      <c r="A78" s="14">
        <v>76</v>
      </c>
      <c r="B78" s="15">
        <f t="shared" ca="1" si="4"/>
        <v>-0.54240674100901476</v>
      </c>
      <c r="C78" s="16">
        <f ca="1">MAX(0,'1_Inputs'!$B$10*(1+'1_Inputs'!$C$10*$B78))</f>
        <v>141518.65179819707</v>
      </c>
      <c r="D78" s="16">
        <f ca="1">MAX(0,'1_Inputs'!$B$11*(1+'1_Inputs'!$C$11*$B78))</f>
        <v>267455.59553945909</v>
      </c>
      <c r="E78" s="16">
        <f ca="1">MAX(0,'1_Inputs'!$B$12*(1+'1_Inputs'!$C$12*$B78))</f>
        <v>315828.37531643204</v>
      </c>
      <c r="F78" s="16">
        <f ca="1">MAX(0,'1_Inputs'!$B$13*(1+'1_Inputs'!$C$13*$B78))</f>
        <v>360946.71464735095</v>
      </c>
      <c r="G78" s="16">
        <f ca="1">MAX(0,'1_Inputs'!$B$14*(1+'1_Inputs'!$C$14*$B78))</f>
        <v>388979.24163648585</v>
      </c>
      <c r="H78" s="16">
        <f ca="1">NPV('1_Inputs'!$B$5,C78:G78)-'1_Inputs'!$B$4</f>
        <v>14475.732156406622</v>
      </c>
      <c r="I78" s="14" t="str">
        <f t="shared" ca="1" si="3"/>
        <v>VAN&gt;0</v>
      </c>
    </row>
    <row r="79" spans="1:9" x14ac:dyDescent="0.3">
      <c r="A79" s="14">
        <v>77</v>
      </c>
      <c r="B79" s="15">
        <f t="shared" ca="1" si="4"/>
        <v>0.39548471405703722</v>
      </c>
      <c r="C79" s="16">
        <f ca="1">MAX(0,'1_Inputs'!$B$10*(1+'1_Inputs'!$C$10*$B79))</f>
        <v>329096.94281140744</v>
      </c>
      <c r="D79" s="16">
        <f ca="1">MAX(0,'1_Inputs'!$B$11*(1+'1_Inputs'!$C$11*$B79))</f>
        <v>323729.08284342225</v>
      </c>
      <c r="E79" s="16">
        <f ca="1">MAX(0,'1_Inputs'!$B$12*(1+'1_Inputs'!$C$12*$B79))</f>
        <v>374915.53698559332</v>
      </c>
      <c r="F79" s="16">
        <f ca="1">MAX(0,'1_Inputs'!$B$13*(1+'1_Inputs'!$C$13*$B79))</f>
        <v>428474.89941210666</v>
      </c>
      <c r="G79" s="16">
        <f ca="1">MAX(0,'1_Inputs'!$B$14*(1+'1_Inputs'!$C$14*$B79))</f>
        <v>494492.0303314167</v>
      </c>
      <c r="H79" s="16">
        <f ca="1">NPV('1_Inputs'!$B$5,C79:G79)-'1_Inputs'!$B$4</f>
        <v>371660.47540224809</v>
      </c>
      <c r="I79" s="14" t="str">
        <f t="shared" ca="1" si="3"/>
        <v>VAN&gt;0</v>
      </c>
    </row>
    <row r="80" spans="1:9" x14ac:dyDescent="0.3">
      <c r="A80" s="14">
        <v>78</v>
      </c>
      <c r="B80" s="15">
        <f t="shared" ca="1" si="4"/>
        <v>-0.93985403122483491</v>
      </c>
      <c r="C80" s="16">
        <f ca="1">MAX(0,'1_Inputs'!$B$10*(1+'1_Inputs'!$C$10*$B80))</f>
        <v>62029.193755033019</v>
      </c>
      <c r="D80" s="16">
        <f ca="1">MAX(0,'1_Inputs'!$B$11*(1+'1_Inputs'!$C$11*$B80))</f>
        <v>243608.7581265099</v>
      </c>
      <c r="E80" s="16">
        <f ca="1">MAX(0,'1_Inputs'!$B$12*(1+'1_Inputs'!$C$12*$B80))</f>
        <v>290789.1960328354</v>
      </c>
      <c r="F80" s="16">
        <f ca="1">MAX(0,'1_Inputs'!$B$13*(1+'1_Inputs'!$C$13*$B80))</f>
        <v>332330.50975181191</v>
      </c>
      <c r="G80" s="16">
        <f ca="1">MAX(0,'1_Inputs'!$B$14*(1+'1_Inputs'!$C$14*$B80))</f>
        <v>344266.42148720607</v>
      </c>
      <c r="H80" s="16">
        <f ca="1">NPV('1_Inputs'!$B$5,C80:G80)-'1_Inputs'!$B$4</f>
        <v>-136887.31475342507</v>
      </c>
      <c r="I80" s="14" t="str">
        <f t="shared" ca="1" si="3"/>
        <v>VAN&lt;0</v>
      </c>
    </row>
    <row r="81" spans="1:9" x14ac:dyDescent="0.3">
      <c r="A81" s="14">
        <v>79</v>
      </c>
      <c r="B81" s="15">
        <f t="shared" ca="1" si="4"/>
        <v>-0.93073738846846688</v>
      </c>
      <c r="C81" s="16">
        <f ca="1">MAX(0,'1_Inputs'!$B$10*(1+'1_Inputs'!$C$10*$B81))</f>
        <v>63852.522306306615</v>
      </c>
      <c r="D81" s="16">
        <f ca="1">MAX(0,'1_Inputs'!$B$11*(1+'1_Inputs'!$C$11*$B81))</f>
        <v>244155.75669189199</v>
      </c>
      <c r="E81" s="16">
        <f ca="1">MAX(0,'1_Inputs'!$B$12*(1+'1_Inputs'!$C$12*$B81))</f>
        <v>291363.5445264866</v>
      </c>
      <c r="F81" s="16">
        <f ca="1">MAX(0,'1_Inputs'!$B$13*(1+'1_Inputs'!$C$13*$B81))</f>
        <v>332986.90803027042</v>
      </c>
      <c r="G81" s="16">
        <f ca="1">MAX(0,'1_Inputs'!$B$14*(1+'1_Inputs'!$C$14*$B81))</f>
        <v>345292.04379729746</v>
      </c>
      <c r="H81" s="16">
        <f ca="1">NPV('1_Inputs'!$B$5,C81:G81)-'1_Inputs'!$B$4</f>
        <v>-133415.35039698682</v>
      </c>
      <c r="I81" s="14" t="str">
        <f t="shared" ca="1" si="3"/>
        <v>VAN&lt;0</v>
      </c>
    </row>
    <row r="82" spans="1:9" x14ac:dyDescent="0.3">
      <c r="A82" s="14">
        <v>80</v>
      </c>
      <c r="B82" s="15">
        <f t="shared" ca="1" si="4"/>
        <v>0.39044077334286137</v>
      </c>
      <c r="C82" s="16">
        <f ca="1">MAX(0,'1_Inputs'!$B$10*(1+'1_Inputs'!$C$10*$B82))</f>
        <v>328088.1546685723</v>
      </c>
      <c r="D82" s="16">
        <f ca="1">MAX(0,'1_Inputs'!$B$11*(1+'1_Inputs'!$C$11*$B82))</f>
        <v>323426.44640057167</v>
      </c>
      <c r="E82" s="16">
        <f ca="1">MAX(0,'1_Inputs'!$B$12*(1+'1_Inputs'!$C$12*$B82))</f>
        <v>374597.76872060029</v>
      </c>
      <c r="F82" s="16">
        <f ca="1">MAX(0,'1_Inputs'!$B$13*(1+'1_Inputs'!$C$13*$B82))</f>
        <v>428111.73568068608</v>
      </c>
      <c r="G82" s="16">
        <f ca="1">MAX(0,'1_Inputs'!$B$14*(1+'1_Inputs'!$C$14*$B82))</f>
        <v>493924.58700107195</v>
      </c>
      <c r="H82" s="16">
        <f ca="1">NPV('1_Inputs'!$B$5,C82:G82)-'1_Inputs'!$B$4</f>
        <v>369739.55090804491</v>
      </c>
      <c r="I82" s="14" t="str">
        <f t="shared" ca="1" si="3"/>
        <v>VAN&gt;0</v>
      </c>
    </row>
    <row r="83" spans="1:9" x14ac:dyDescent="0.3">
      <c r="A83" s="14">
        <v>81</v>
      </c>
      <c r="B83" s="15">
        <f t="shared" ca="1" si="4"/>
        <v>0.76757926723802017</v>
      </c>
      <c r="C83" s="16">
        <f ca="1">MAX(0,'1_Inputs'!$B$10*(1+'1_Inputs'!$C$10*$B83))</f>
        <v>403515.85344760405</v>
      </c>
      <c r="D83" s="16">
        <f ca="1">MAX(0,'1_Inputs'!$B$11*(1+'1_Inputs'!$C$11*$B83))</f>
        <v>346054.75603428122</v>
      </c>
      <c r="E83" s="16">
        <f ca="1">MAX(0,'1_Inputs'!$B$12*(1+'1_Inputs'!$C$12*$B83))</f>
        <v>398357.49383599526</v>
      </c>
      <c r="F83" s="16">
        <f ca="1">MAX(0,'1_Inputs'!$B$13*(1+'1_Inputs'!$C$13*$B83))</f>
        <v>455265.70724113745</v>
      </c>
      <c r="G83" s="16">
        <f ca="1">MAX(0,'1_Inputs'!$B$14*(1+'1_Inputs'!$C$14*$B83))</f>
        <v>536352.66756427719</v>
      </c>
      <c r="H83" s="16">
        <f ca="1">NPV('1_Inputs'!$B$5,C83:G83)-'1_Inputs'!$B$4</f>
        <v>513368.2356374294</v>
      </c>
      <c r="I83" s="14" t="str">
        <f t="shared" ca="1" si="3"/>
        <v>VAN&gt;0</v>
      </c>
    </row>
    <row r="84" spans="1:9" x14ac:dyDescent="0.3">
      <c r="A84" s="14">
        <v>82</v>
      </c>
      <c r="B84" s="15">
        <f t="shared" ca="1" si="4"/>
        <v>0.57905298327064914</v>
      </c>
      <c r="C84" s="16">
        <f ca="1">MAX(0,'1_Inputs'!$B$10*(1+'1_Inputs'!$C$10*$B84))</f>
        <v>365810.59665412985</v>
      </c>
      <c r="D84" s="16">
        <f ca="1">MAX(0,'1_Inputs'!$B$11*(1+'1_Inputs'!$C$11*$B84))</f>
        <v>334743.17899623897</v>
      </c>
      <c r="E84" s="16">
        <f ca="1">MAX(0,'1_Inputs'!$B$12*(1+'1_Inputs'!$C$12*$B84))</f>
        <v>386480.33794605086</v>
      </c>
      <c r="F84" s="16">
        <f ca="1">MAX(0,'1_Inputs'!$B$13*(1+'1_Inputs'!$C$13*$B84))</f>
        <v>441691.81479548669</v>
      </c>
      <c r="G84" s="16">
        <f ca="1">MAX(0,'1_Inputs'!$B$14*(1+'1_Inputs'!$C$14*$B84))</f>
        <v>515143.46061794797</v>
      </c>
      <c r="H84" s="16">
        <f ca="1">NPV('1_Inputs'!$B$5,C84:G84)-'1_Inputs'!$B$4</f>
        <v>441570.25520990137</v>
      </c>
      <c r="I84" s="14" t="str">
        <f t="shared" ca="1" si="3"/>
        <v>VAN&gt;0</v>
      </c>
    </row>
    <row r="85" spans="1:9" x14ac:dyDescent="0.3">
      <c r="A85" s="14">
        <v>83</v>
      </c>
      <c r="B85" s="15">
        <f t="shared" ca="1" si="4"/>
        <v>-0.30744401233997037</v>
      </c>
      <c r="C85" s="16">
        <f ca="1">MAX(0,'1_Inputs'!$B$10*(1+'1_Inputs'!$C$10*$B85))</f>
        <v>188511.19753200593</v>
      </c>
      <c r="D85" s="16">
        <f ca="1">MAX(0,'1_Inputs'!$B$11*(1+'1_Inputs'!$C$11*$B85))</f>
        <v>281553.3592596018</v>
      </c>
      <c r="E85" s="16">
        <f ca="1">MAX(0,'1_Inputs'!$B$12*(1+'1_Inputs'!$C$12*$B85))</f>
        <v>330631.02722258185</v>
      </c>
      <c r="F85" s="16">
        <f ca="1">MAX(0,'1_Inputs'!$B$13*(1+'1_Inputs'!$C$13*$B85))</f>
        <v>377864.03111152211</v>
      </c>
      <c r="G85" s="16">
        <f ca="1">MAX(0,'1_Inputs'!$B$14*(1+'1_Inputs'!$C$14*$B85))</f>
        <v>415412.54861175333</v>
      </c>
      <c r="H85" s="16">
        <f ca="1">NPV('1_Inputs'!$B$5,C85:G85)-'1_Inputs'!$B$4</f>
        <v>103958.47715708939</v>
      </c>
      <c r="I85" s="14" t="str">
        <f t="shared" ca="1" si="3"/>
        <v>VAN&gt;0</v>
      </c>
    </row>
    <row r="86" spans="1:9" x14ac:dyDescent="0.3">
      <c r="A86" s="14">
        <v>84</v>
      </c>
      <c r="B86" s="15">
        <f t="shared" ca="1" si="4"/>
        <v>-5.0486705719573283E-2</v>
      </c>
      <c r="C86" s="16">
        <f ca="1">MAX(0,'1_Inputs'!$B$10*(1+'1_Inputs'!$C$10*$B86))</f>
        <v>239902.65885608533</v>
      </c>
      <c r="D86" s="16">
        <f ca="1">MAX(0,'1_Inputs'!$B$11*(1+'1_Inputs'!$C$11*$B86))</f>
        <v>296970.79765682557</v>
      </c>
      <c r="E86" s="16">
        <f ca="1">MAX(0,'1_Inputs'!$B$12*(1+'1_Inputs'!$C$12*$B86))</f>
        <v>346819.33753966691</v>
      </c>
      <c r="F86" s="16">
        <f ca="1">MAX(0,'1_Inputs'!$B$13*(1+'1_Inputs'!$C$13*$B86))</f>
        <v>396364.95718819072</v>
      </c>
      <c r="G86" s="16">
        <f ca="1">MAX(0,'1_Inputs'!$B$14*(1+'1_Inputs'!$C$14*$B86))</f>
        <v>444320.24560654804</v>
      </c>
      <c r="H86" s="16">
        <f ca="1">NPV('1_Inputs'!$B$5,C86:G86)-'1_Inputs'!$B$4</f>
        <v>201817.59410989867</v>
      </c>
      <c r="I86" s="14" t="str">
        <f t="shared" ca="1" si="3"/>
        <v>VAN&gt;0</v>
      </c>
    </row>
    <row r="87" spans="1:9" x14ac:dyDescent="0.3">
      <c r="A87" s="14">
        <v>85</v>
      </c>
      <c r="B87" s="15">
        <f t="shared" ca="1" si="4"/>
        <v>-0.67762833920941579</v>
      </c>
      <c r="C87" s="16">
        <f ca="1">MAX(0,'1_Inputs'!$B$10*(1+'1_Inputs'!$C$10*$B87))</f>
        <v>114474.33215811684</v>
      </c>
      <c r="D87" s="16">
        <f ca="1">MAX(0,'1_Inputs'!$B$11*(1+'1_Inputs'!$C$11*$B87))</f>
        <v>259342.29964743505</v>
      </c>
      <c r="E87" s="16">
        <f ca="1">MAX(0,'1_Inputs'!$B$12*(1+'1_Inputs'!$C$12*$B87))</f>
        <v>307309.41462980676</v>
      </c>
      <c r="F87" s="16">
        <f ca="1">MAX(0,'1_Inputs'!$B$13*(1+'1_Inputs'!$C$13*$B87))</f>
        <v>351210.75957692205</v>
      </c>
      <c r="G87" s="16">
        <f ca="1">MAX(0,'1_Inputs'!$B$14*(1+'1_Inputs'!$C$14*$B87))</f>
        <v>373766.81183894078</v>
      </c>
      <c r="H87" s="16">
        <f ca="1">NPV('1_Inputs'!$B$5,C87:G87)-'1_Inputs'!$B$4</f>
        <v>-37021.796234126785</v>
      </c>
      <c r="I87" s="14" t="str">
        <f t="shared" ca="1" si="3"/>
        <v>VAN&lt;0</v>
      </c>
    </row>
    <row r="88" spans="1:9" x14ac:dyDescent="0.3">
      <c r="A88" s="14">
        <v>86</v>
      </c>
      <c r="B88" s="15">
        <f t="shared" ca="1" si="4"/>
        <v>-9.4961600897786547E-2</v>
      </c>
      <c r="C88" s="16">
        <f ca="1">MAX(0,'1_Inputs'!$B$10*(1+'1_Inputs'!$C$10*$B88))</f>
        <v>231007.67982044269</v>
      </c>
      <c r="D88" s="16">
        <f ca="1">MAX(0,'1_Inputs'!$B$11*(1+'1_Inputs'!$C$11*$B88))</f>
        <v>294302.30394613283</v>
      </c>
      <c r="E88" s="16">
        <f ca="1">MAX(0,'1_Inputs'!$B$12*(1+'1_Inputs'!$C$12*$B88))</f>
        <v>344017.41914343945</v>
      </c>
      <c r="F88" s="16">
        <f ca="1">MAX(0,'1_Inputs'!$B$13*(1+'1_Inputs'!$C$13*$B88))</f>
        <v>393162.76473535935</v>
      </c>
      <c r="G88" s="16">
        <f ca="1">MAX(0,'1_Inputs'!$B$14*(1+'1_Inputs'!$C$14*$B88))</f>
        <v>439316.81989899901</v>
      </c>
      <c r="H88" s="16">
        <f ca="1">NPV('1_Inputs'!$B$5,C88:G88)-'1_Inputs'!$B$4</f>
        <v>184879.8622121315</v>
      </c>
      <c r="I88" s="14" t="str">
        <f t="shared" ca="1" si="3"/>
        <v>VAN&gt;0</v>
      </c>
    </row>
    <row r="89" spans="1:9" x14ac:dyDescent="0.3">
      <c r="A89" s="14">
        <v>87</v>
      </c>
      <c r="B89" s="15">
        <f t="shared" ca="1" si="4"/>
        <v>-0.67445567331280987</v>
      </c>
      <c r="C89" s="16">
        <f ca="1">MAX(0,'1_Inputs'!$B$10*(1+'1_Inputs'!$C$10*$B89))</f>
        <v>115108.86533743802</v>
      </c>
      <c r="D89" s="16">
        <f ca="1">MAX(0,'1_Inputs'!$B$11*(1+'1_Inputs'!$C$11*$B89))</f>
        <v>259532.6596012314</v>
      </c>
      <c r="E89" s="16">
        <f ca="1">MAX(0,'1_Inputs'!$B$12*(1+'1_Inputs'!$C$12*$B89))</f>
        <v>307509.29258129298</v>
      </c>
      <c r="F89" s="16">
        <f ca="1">MAX(0,'1_Inputs'!$B$13*(1+'1_Inputs'!$C$13*$B89))</f>
        <v>351439.19152147765</v>
      </c>
      <c r="G89" s="16">
        <f ca="1">MAX(0,'1_Inputs'!$B$14*(1+'1_Inputs'!$C$14*$B89))</f>
        <v>374123.73675230891</v>
      </c>
      <c r="H89" s="16">
        <f ca="1">NPV('1_Inputs'!$B$5,C89:G89)-'1_Inputs'!$B$4</f>
        <v>-35813.524373281165</v>
      </c>
      <c r="I89" s="14" t="str">
        <f t="shared" ca="1" si="3"/>
        <v>VAN&lt;0</v>
      </c>
    </row>
    <row r="90" spans="1:9" x14ac:dyDescent="0.3">
      <c r="A90" s="14">
        <v>88</v>
      </c>
      <c r="B90" s="15">
        <f t="shared" ca="1" si="4"/>
        <v>1.09344034861666</v>
      </c>
      <c r="C90" s="16">
        <f ca="1">MAX(0,'1_Inputs'!$B$10*(1+'1_Inputs'!$C$10*$B90))</f>
        <v>468688.06972333201</v>
      </c>
      <c r="D90" s="16">
        <f ca="1">MAX(0,'1_Inputs'!$B$11*(1+'1_Inputs'!$C$11*$B90))</f>
        <v>365606.42091699957</v>
      </c>
      <c r="E90" s="16">
        <f ca="1">MAX(0,'1_Inputs'!$B$12*(1+'1_Inputs'!$C$12*$B90))</f>
        <v>418886.74196284957</v>
      </c>
      <c r="F90" s="16">
        <f ca="1">MAX(0,'1_Inputs'!$B$13*(1+'1_Inputs'!$C$13*$B90))</f>
        <v>478727.7051003995</v>
      </c>
      <c r="G90" s="16">
        <f ca="1">MAX(0,'1_Inputs'!$B$14*(1+'1_Inputs'!$C$14*$B90))</f>
        <v>573012.0392193743</v>
      </c>
      <c r="H90" s="16">
        <f ca="1">NPV('1_Inputs'!$B$5,C90:G90)-'1_Inputs'!$B$4</f>
        <v>637468.53110055882</v>
      </c>
      <c r="I90" s="14" t="str">
        <f t="shared" ca="1" si="3"/>
        <v>VAN&gt;0</v>
      </c>
    </row>
    <row r="91" spans="1:9" x14ac:dyDescent="0.3">
      <c r="A91" s="14">
        <v>89</v>
      </c>
      <c r="B91" s="15">
        <f t="shared" ca="1" si="4"/>
        <v>0.62375593500978355</v>
      </c>
      <c r="C91" s="16">
        <f ca="1">MAX(0,'1_Inputs'!$B$10*(1+'1_Inputs'!$C$10*$B91))</f>
        <v>374751.18700195668</v>
      </c>
      <c r="D91" s="16">
        <f ca="1">MAX(0,'1_Inputs'!$B$11*(1+'1_Inputs'!$C$11*$B91))</f>
        <v>337425.356100587</v>
      </c>
      <c r="E91" s="16">
        <f ca="1">MAX(0,'1_Inputs'!$B$12*(1+'1_Inputs'!$C$12*$B91))</f>
        <v>389296.62390561635</v>
      </c>
      <c r="F91" s="16">
        <f ca="1">MAX(0,'1_Inputs'!$B$13*(1+'1_Inputs'!$C$13*$B91))</f>
        <v>444910.42732070439</v>
      </c>
      <c r="G91" s="16">
        <f ca="1">MAX(0,'1_Inputs'!$B$14*(1+'1_Inputs'!$C$14*$B91))</f>
        <v>520172.54268860066</v>
      </c>
      <c r="H91" s="16">
        <f ca="1">NPV('1_Inputs'!$B$5,C91:G91)-'1_Inputs'!$B$4</f>
        <v>458594.83972128225</v>
      </c>
      <c r="I91" s="14" t="str">
        <f t="shared" ca="1" si="3"/>
        <v>VAN&gt;0</v>
      </c>
    </row>
    <row r="92" spans="1:9" x14ac:dyDescent="0.3">
      <c r="A92" s="14">
        <v>90</v>
      </c>
      <c r="B92" s="15">
        <f t="shared" ca="1" si="4"/>
        <v>-0.25787826683039516</v>
      </c>
      <c r="C92" s="16">
        <f ca="1">MAX(0,'1_Inputs'!$B$10*(1+'1_Inputs'!$C$10*$B92))</f>
        <v>198424.34663392097</v>
      </c>
      <c r="D92" s="16">
        <f ca="1">MAX(0,'1_Inputs'!$B$11*(1+'1_Inputs'!$C$11*$B92))</f>
        <v>284527.3039901763</v>
      </c>
      <c r="E92" s="16">
        <f ca="1">MAX(0,'1_Inputs'!$B$12*(1+'1_Inputs'!$C$12*$B92))</f>
        <v>333753.66918968508</v>
      </c>
      <c r="F92" s="16">
        <f ca="1">MAX(0,'1_Inputs'!$B$13*(1+'1_Inputs'!$C$13*$B92))</f>
        <v>381432.76478821156</v>
      </c>
      <c r="G92" s="16">
        <f ca="1">MAX(0,'1_Inputs'!$B$14*(1+'1_Inputs'!$C$14*$B92))</f>
        <v>420988.69498158054</v>
      </c>
      <c r="H92" s="16">
        <f ca="1">NPV('1_Inputs'!$B$5,C92:G92)-'1_Inputs'!$B$4</f>
        <v>122834.99851571419</v>
      </c>
      <c r="I92" s="14" t="str">
        <f t="shared" ca="1" si="3"/>
        <v>VAN&gt;0</v>
      </c>
    </row>
    <row r="93" spans="1:9" x14ac:dyDescent="0.3">
      <c r="A93" s="14">
        <v>91</v>
      </c>
      <c r="B93" s="15">
        <f t="shared" ca="1" si="4"/>
        <v>-2.5194345685649274E-3</v>
      </c>
      <c r="C93" s="16">
        <f ca="1">MAX(0,'1_Inputs'!$B$10*(1+'1_Inputs'!$C$10*$B93))</f>
        <v>249496.11308628702</v>
      </c>
      <c r="D93" s="16">
        <f ca="1">MAX(0,'1_Inputs'!$B$11*(1+'1_Inputs'!$C$11*$B93))</f>
        <v>299848.83392588614</v>
      </c>
      <c r="E93" s="16">
        <f ca="1">MAX(0,'1_Inputs'!$B$12*(1+'1_Inputs'!$C$12*$B93))</f>
        <v>349841.27562218043</v>
      </c>
      <c r="F93" s="16">
        <f ca="1">MAX(0,'1_Inputs'!$B$13*(1+'1_Inputs'!$C$13*$B93))</f>
        <v>399818.60071106337</v>
      </c>
      <c r="G93" s="16">
        <f ca="1">MAX(0,'1_Inputs'!$B$14*(1+'1_Inputs'!$C$14*$B93))</f>
        <v>449716.56361103646</v>
      </c>
      <c r="H93" s="16">
        <f ca="1">NPV('1_Inputs'!$B$5,C93:G93)-'1_Inputs'!$B$4</f>
        <v>220085.35562721663</v>
      </c>
      <c r="I93" s="14" t="str">
        <f t="shared" ca="1" si="3"/>
        <v>VAN&gt;0</v>
      </c>
    </row>
    <row r="94" spans="1:9" x14ac:dyDescent="0.3">
      <c r="A94" s="14">
        <v>92</v>
      </c>
      <c r="B94" s="15">
        <f t="shared" ca="1" si="4"/>
        <v>1.6238994635801756</v>
      </c>
      <c r="C94" s="16">
        <f ca="1">MAX(0,'1_Inputs'!$B$10*(1+'1_Inputs'!$C$10*$B94))</f>
        <v>574779.89271603513</v>
      </c>
      <c r="D94" s="16">
        <f ca="1">MAX(0,'1_Inputs'!$B$11*(1+'1_Inputs'!$C$11*$B94))</f>
        <v>397433.96781481057</v>
      </c>
      <c r="E94" s="16">
        <f ca="1">MAX(0,'1_Inputs'!$B$12*(1+'1_Inputs'!$C$12*$B94))</f>
        <v>452305.66620555107</v>
      </c>
      <c r="F94" s="16">
        <f ca="1">MAX(0,'1_Inputs'!$B$13*(1+'1_Inputs'!$C$13*$B94))</f>
        <v>516920.76137777267</v>
      </c>
      <c r="G94" s="16">
        <f ca="1">MAX(0,'1_Inputs'!$B$14*(1+'1_Inputs'!$C$14*$B94))</f>
        <v>632688.68965276983</v>
      </c>
      <c r="H94" s="16">
        <f ca="1">NPV('1_Inputs'!$B$5,C94:G94)-'1_Inputs'!$B$4</f>
        <v>839487.54061090364</v>
      </c>
      <c r="I94" s="14" t="str">
        <f t="shared" ca="1" si="3"/>
        <v>VAN&gt;0</v>
      </c>
    </row>
    <row r="95" spans="1:9" x14ac:dyDescent="0.3">
      <c r="A95" s="14">
        <v>93</v>
      </c>
      <c r="B95" s="15">
        <f t="shared" ca="1" si="4"/>
        <v>1.964851098562054</v>
      </c>
      <c r="C95" s="16">
        <f ca="1">MAX(0,'1_Inputs'!$B$10*(1+'1_Inputs'!$C$10*$B95))</f>
        <v>642970.2197124107</v>
      </c>
      <c r="D95" s="16">
        <f ca="1">MAX(0,'1_Inputs'!$B$11*(1+'1_Inputs'!$C$11*$B95))</f>
        <v>417891.0659137232</v>
      </c>
      <c r="E95" s="16">
        <f ca="1">MAX(0,'1_Inputs'!$B$12*(1+'1_Inputs'!$C$12*$B95))</f>
        <v>473785.6192094094</v>
      </c>
      <c r="F95" s="16">
        <f ca="1">MAX(0,'1_Inputs'!$B$13*(1+'1_Inputs'!$C$13*$B95))</f>
        <v>541469.27909646789</v>
      </c>
      <c r="G95" s="16">
        <f ca="1">MAX(0,'1_Inputs'!$B$14*(1+'1_Inputs'!$C$14*$B95))</f>
        <v>671045.74858823104</v>
      </c>
      <c r="H95" s="16">
        <f ca="1">NPV('1_Inputs'!$B$5,C95:G95)-'1_Inputs'!$B$4</f>
        <v>969334.89292703592</v>
      </c>
      <c r="I95" s="14" t="str">
        <f t="shared" ca="1" si="3"/>
        <v>VAN&gt;0</v>
      </c>
    </row>
    <row r="96" spans="1:9" x14ac:dyDescent="0.3">
      <c r="A96" s="14">
        <v>94</v>
      </c>
      <c r="B96" s="15">
        <f t="shared" ca="1" si="4"/>
        <v>-7.6452394288305997E-2</v>
      </c>
      <c r="C96" s="16">
        <f ca="1">MAX(0,'1_Inputs'!$B$10*(1+'1_Inputs'!$C$10*$B96))</f>
        <v>234709.52114233881</v>
      </c>
      <c r="D96" s="16">
        <f ca="1">MAX(0,'1_Inputs'!$B$11*(1+'1_Inputs'!$C$11*$B96))</f>
        <v>295412.85634270165</v>
      </c>
      <c r="E96" s="16">
        <f ca="1">MAX(0,'1_Inputs'!$B$12*(1+'1_Inputs'!$C$12*$B96))</f>
        <v>345183.49915983673</v>
      </c>
      <c r="F96" s="16">
        <f ca="1">MAX(0,'1_Inputs'!$B$13*(1+'1_Inputs'!$C$13*$B96))</f>
        <v>394495.42761124199</v>
      </c>
      <c r="G96" s="16">
        <f ca="1">MAX(0,'1_Inputs'!$B$14*(1+'1_Inputs'!$C$14*$B96))</f>
        <v>441399.10564256553</v>
      </c>
      <c r="H96" s="16">
        <f ca="1">NPV('1_Inputs'!$B$5,C96:G96)-'1_Inputs'!$B$4</f>
        <v>191928.87217461783</v>
      </c>
      <c r="I96" s="14" t="str">
        <f t="shared" ca="1" si="3"/>
        <v>VAN&gt;0</v>
      </c>
    </row>
    <row r="97" spans="1:9" x14ac:dyDescent="0.3">
      <c r="A97" s="14">
        <v>95</v>
      </c>
      <c r="B97" s="15">
        <f t="shared" ca="1" si="4"/>
        <v>0.23052900492326675</v>
      </c>
      <c r="C97" s="16">
        <f ca="1">MAX(0,'1_Inputs'!$B$10*(1+'1_Inputs'!$C$10*$B97))</f>
        <v>296105.80098465335</v>
      </c>
      <c r="D97" s="16">
        <f ca="1">MAX(0,'1_Inputs'!$B$11*(1+'1_Inputs'!$C$11*$B97))</f>
        <v>313831.74029539601</v>
      </c>
      <c r="E97" s="16">
        <f ca="1">MAX(0,'1_Inputs'!$B$12*(1+'1_Inputs'!$C$12*$B97))</f>
        <v>364523.3273101658</v>
      </c>
      <c r="F97" s="16">
        <f ca="1">MAX(0,'1_Inputs'!$B$13*(1+'1_Inputs'!$C$13*$B97))</f>
        <v>416598.08835447521</v>
      </c>
      <c r="G97" s="16">
        <f ca="1">MAX(0,'1_Inputs'!$B$14*(1+'1_Inputs'!$C$14*$B97))</f>
        <v>475934.5130538675</v>
      </c>
      <c r="H97" s="16">
        <f ca="1">NPV('1_Inputs'!$B$5,C97:G97)-'1_Inputs'!$B$4</f>
        <v>308839.06649013469</v>
      </c>
      <c r="I97" s="14" t="str">
        <f t="shared" ca="1" si="3"/>
        <v>VAN&gt;0</v>
      </c>
    </row>
    <row r="98" spans="1:9" x14ac:dyDescent="0.3">
      <c r="A98" s="14">
        <v>96</v>
      </c>
      <c r="B98" s="15">
        <f t="shared" ca="1" si="4"/>
        <v>-0.60399528317354434</v>
      </c>
      <c r="C98" s="16">
        <f ca="1">MAX(0,'1_Inputs'!$B$10*(1+'1_Inputs'!$C$10*$B98))</f>
        <v>129200.94336529114</v>
      </c>
      <c r="D98" s="16">
        <f ca="1">MAX(0,'1_Inputs'!$B$11*(1+'1_Inputs'!$C$11*$B98))</f>
        <v>263760.28300958732</v>
      </c>
      <c r="E98" s="16">
        <f ca="1">MAX(0,'1_Inputs'!$B$12*(1+'1_Inputs'!$C$12*$B98))</f>
        <v>311948.29716006672</v>
      </c>
      <c r="F98" s="16">
        <f ca="1">MAX(0,'1_Inputs'!$B$13*(1+'1_Inputs'!$C$13*$B98))</f>
        <v>356512.33961150481</v>
      </c>
      <c r="G98" s="16">
        <f ca="1">MAX(0,'1_Inputs'!$B$14*(1+'1_Inputs'!$C$14*$B98))</f>
        <v>382050.53064297623</v>
      </c>
      <c r="H98" s="16">
        <f ca="1">NPV('1_Inputs'!$B$5,C98:G98)-'1_Inputs'!$B$4</f>
        <v>-8979.5275126071647</v>
      </c>
      <c r="I98" s="14" t="str">
        <f t="shared" ca="1" si="3"/>
        <v>VAN&lt;0</v>
      </c>
    </row>
    <row r="99" spans="1:9" x14ac:dyDescent="0.3">
      <c r="A99" s="14">
        <v>97</v>
      </c>
      <c r="B99" s="15">
        <f t="shared" ca="1" si="4"/>
        <v>4.399702129322159E-2</v>
      </c>
      <c r="C99" s="16">
        <f ca="1">MAX(0,'1_Inputs'!$B$10*(1+'1_Inputs'!$C$10*$B99))</f>
        <v>258799.40425864432</v>
      </c>
      <c r="D99" s="16">
        <f ca="1">MAX(0,'1_Inputs'!$B$11*(1+'1_Inputs'!$C$11*$B99))</f>
        <v>302639.82127759332</v>
      </c>
      <c r="E99" s="16">
        <f ca="1">MAX(0,'1_Inputs'!$B$12*(1+'1_Inputs'!$C$12*$B99))</f>
        <v>352771.81234147301</v>
      </c>
      <c r="F99" s="16">
        <f ca="1">MAX(0,'1_Inputs'!$B$13*(1+'1_Inputs'!$C$13*$B99))</f>
        <v>403167.78553311201</v>
      </c>
      <c r="G99" s="16">
        <f ca="1">MAX(0,'1_Inputs'!$B$14*(1+'1_Inputs'!$C$14*$B99))</f>
        <v>454949.66489548743</v>
      </c>
      <c r="H99" s="16">
        <f ca="1">NPV('1_Inputs'!$B$5,C99:G99)-'1_Inputs'!$B$4</f>
        <v>237800.59149374696</v>
      </c>
      <c r="I99" s="14" t="str">
        <f t="shared" ref="I99:I130" ca="1" si="5">IF(H99&gt;0,"VAN&gt;0","VAN&lt;0")</f>
        <v>VAN&gt;0</v>
      </c>
    </row>
    <row r="100" spans="1:9" x14ac:dyDescent="0.3">
      <c r="A100" s="14">
        <v>98</v>
      </c>
      <c r="B100" s="15">
        <f t="shared" ca="1" si="4"/>
        <v>1.4533886057216308</v>
      </c>
      <c r="C100" s="16">
        <f ca="1">MAX(0,'1_Inputs'!$B$10*(1+'1_Inputs'!$C$10*$B100))</f>
        <v>540677.72114432615</v>
      </c>
      <c r="D100" s="16">
        <f ca="1">MAX(0,'1_Inputs'!$B$11*(1+'1_Inputs'!$C$11*$B100))</f>
        <v>387203.31634329783</v>
      </c>
      <c r="E100" s="16">
        <f ca="1">MAX(0,'1_Inputs'!$B$12*(1+'1_Inputs'!$C$12*$B100))</f>
        <v>441563.48216046277</v>
      </c>
      <c r="F100" s="16">
        <f ca="1">MAX(0,'1_Inputs'!$B$13*(1+'1_Inputs'!$C$13*$B100))</f>
        <v>504643.97961195739</v>
      </c>
      <c r="G100" s="16">
        <f ca="1">MAX(0,'1_Inputs'!$B$14*(1+'1_Inputs'!$C$14*$B100))</f>
        <v>613506.21814368339</v>
      </c>
      <c r="H100" s="16">
        <f ca="1">NPV('1_Inputs'!$B$5,C100:G100)-'1_Inputs'!$B$4</f>
        <v>774550.51974792569</v>
      </c>
      <c r="I100" s="14" t="str">
        <f t="shared" ca="1" si="5"/>
        <v>VAN&gt;0</v>
      </c>
    </row>
    <row r="101" spans="1:9" x14ac:dyDescent="0.3">
      <c r="A101" s="14">
        <v>99</v>
      </c>
      <c r="B101" s="15">
        <f t="shared" ca="1" si="4"/>
        <v>0.66204944219632833</v>
      </c>
      <c r="C101" s="16">
        <f ca="1">MAX(0,'1_Inputs'!$B$10*(1+'1_Inputs'!$C$10*$B101))</f>
        <v>382409.88843926572</v>
      </c>
      <c r="D101" s="16">
        <f ca="1">MAX(0,'1_Inputs'!$B$11*(1+'1_Inputs'!$C$11*$B101))</f>
        <v>339722.96653177973</v>
      </c>
      <c r="E101" s="16">
        <f ca="1">MAX(0,'1_Inputs'!$B$12*(1+'1_Inputs'!$C$12*$B101))</f>
        <v>391709.11485836864</v>
      </c>
      <c r="F101" s="16">
        <f ca="1">MAX(0,'1_Inputs'!$B$13*(1+'1_Inputs'!$C$13*$B101))</f>
        <v>447667.55983813561</v>
      </c>
      <c r="G101" s="16">
        <f ca="1">MAX(0,'1_Inputs'!$B$14*(1+'1_Inputs'!$C$14*$B101))</f>
        <v>524480.5622470869</v>
      </c>
      <c r="H101" s="16">
        <f ca="1">NPV('1_Inputs'!$B$5,C101:G101)-'1_Inputs'!$B$4</f>
        <v>473178.46393336705</v>
      </c>
      <c r="I101" s="14" t="str">
        <f t="shared" ca="1" si="5"/>
        <v>VAN&gt;0</v>
      </c>
    </row>
    <row r="102" spans="1:9" x14ac:dyDescent="0.3">
      <c r="A102" s="14">
        <v>100</v>
      </c>
      <c r="B102" s="15">
        <f t="shared" ca="1" si="4"/>
        <v>-0.59430674758578217</v>
      </c>
      <c r="C102" s="16">
        <f ca="1">MAX(0,'1_Inputs'!$B$10*(1+'1_Inputs'!$C$10*$B102))</f>
        <v>131138.65048284357</v>
      </c>
      <c r="D102" s="16">
        <f ca="1">MAX(0,'1_Inputs'!$B$11*(1+'1_Inputs'!$C$11*$B102))</f>
        <v>264341.59514485305</v>
      </c>
      <c r="E102" s="16">
        <f ca="1">MAX(0,'1_Inputs'!$B$12*(1+'1_Inputs'!$C$12*$B102))</f>
        <v>312558.67490209575</v>
      </c>
      <c r="F102" s="16">
        <f ca="1">MAX(0,'1_Inputs'!$B$13*(1+'1_Inputs'!$C$13*$B102))</f>
        <v>357209.91417382366</v>
      </c>
      <c r="G102" s="16">
        <f ca="1">MAX(0,'1_Inputs'!$B$14*(1+'1_Inputs'!$C$14*$B102))</f>
        <v>383140.49089659948</v>
      </c>
      <c r="H102" s="16">
        <f ca="1">NPV('1_Inputs'!$B$5,C102:G102)-'1_Inputs'!$B$4</f>
        <v>-5289.7646113133524</v>
      </c>
      <c r="I102" s="14" t="str">
        <f t="shared" ca="1" si="5"/>
        <v>VAN&lt;0</v>
      </c>
    </row>
    <row r="103" spans="1:9" x14ac:dyDescent="0.3">
      <c r="A103" s="14">
        <v>101</v>
      </c>
      <c r="B103" s="15">
        <f t="shared" ca="1" si="4"/>
        <v>0.3473593413832971</v>
      </c>
      <c r="C103" s="16">
        <f ca="1">MAX(0,'1_Inputs'!$B$10*(1+'1_Inputs'!$C$10*$B103))</f>
        <v>319471.8682766594</v>
      </c>
      <c r="D103" s="16">
        <f ca="1">MAX(0,'1_Inputs'!$B$11*(1+'1_Inputs'!$C$11*$B103))</f>
        <v>320841.56048299785</v>
      </c>
      <c r="E103" s="16">
        <f ca="1">MAX(0,'1_Inputs'!$B$12*(1+'1_Inputs'!$C$12*$B103))</f>
        <v>371883.63850714773</v>
      </c>
      <c r="F103" s="16">
        <f ca="1">MAX(0,'1_Inputs'!$B$13*(1+'1_Inputs'!$C$13*$B103))</f>
        <v>425009.8725795974</v>
      </c>
      <c r="G103" s="16">
        <f ca="1">MAX(0,'1_Inputs'!$B$14*(1+'1_Inputs'!$C$14*$B103))</f>
        <v>489077.92590562085</v>
      </c>
      <c r="H103" s="16">
        <f ca="1">NPV('1_Inputs'!$B$5,C103:G103)-'1_Inputs'!$B$4</f>
        <v>353332.50281093176</v>
      </c>
      <c r="I103" s="14" t="str">
        <f t="shared" ca="1" si="5"/>
        <v>VAN&gt;0</v>
      </c>
    </row>
    <row r="104" spans="1:9" x14ac:dyDescent="0.3">
      <c r="A104" s="14">
        <v>102</v>
      </c>
      <c r="B104" s="15">
        <f t="shared" ca="1" si="4"/>
        <v>0.33017817214829603</v>
      </c>
      <c r="C104" s="16">
        <f ca="1">MAX(0,'1_Inputs'!$B$10*(1+'1_Inputs'!$C$10*$B104))</f>
        <v>316035.63442965923</v>
      </c>
      <c r="D104" s="16">
        <f ca="1">MAX(0,'1_Inputs'!$B$11*(1+'1_Inputs'!$C$11*$B104))</f>
        <v>319810.69032889779</v>
      </c>
      <c r="E104" s="16">
        <f ca="1">MAX(0,'1_Inputs'!$B$12*(1+'1_Inputs'!$C$12*$B104))</f>
        <v>370801.22484534269</v>
      </c>
      <c r="F104" s="16">
        <f ca="1">MAX(0,'1_Inputs'!$B$13*(1+'1_Inputs'!$C$13*$B104))</f>
        <v>423772.82839467732</v>
      </c>
      <c r="G104" s="16">
        <f ca="1">MAX(0,'1_Inputs'!$B$14*(1+'1_Inputs'!$C$14*$B104))</f>
        <v>487145.04436668329</v>
      </c>
      <c r="H104" s="16">
        <f ca="1">NPV('1_Inputs'!$B$5,C104:G104)-'1_Inputs'!$B$4</f>
        <v>346789.25999885704</v>
      </c>
      <c r="I104" s="14" t="str">
        <f t="shared" ca="1" si="5"/>
        <v>VAN&gt;0</v>
      </c>
    </row>
    <row r="105" spans="1:9" x14ac:dyDescent="0.3">
      <c r="A105" s="14">
        <v>103</v>
      </c>
      <c r="B105" s="15">
        <f t="shared" ca="1" si="4"/>
        <v>0.33889762172415422</v>
      </c>
      <c r="C105" s="16">
        <f ca="1">MAX(0,'1_Inputs'!$B$10*(1+'1_Inputs'!$C$10*$B105))</f>
        <v>317779.52434483089</v>
      </c>
      <c r="D105" s="16">
        <f ca="1">MAX(0,'1_Inputs'!$B$11*(1+'1_Inputs'!$C$11*$B105))</f>
        <v>320333.8573034493</v>
      </c>
      <c r="E105" s="16">
        <f ca="1">MAX(0,'1_Inputs'!$B$12*(1+'1_Inputs'!$C$12*$B105))</f>
        <v>371350.55016862176</v>
      </c>
      <c r="F105" s="16">
        <f ca="1">MAX(0,'1_Inputs'!$B$13*(1+'1_Inputs'!$C$13*$B105))</f>
        <v>424400.62876413914</v>
      </c>
      <c r="G105" s="16">
        <f ca="1">MAX(0,'1_Inputs'!$B$14*(1+'1_Inputs'!$C$14*$B105))</f>
        <v>488125.98244396737</v>
      </c>
      <c r="H105" s="16">
        <f ca="1">NPV('1_Inputs'!$B$5,C105:G105)-'1_Inputs'!$B$4</f>
        <v>350109.95808302821</v>
      </c>
      <c r="I105" s="14" t="str">
        <f t="shared" ca="1" si="5"/>
        <v>VAN&gt;0</v>
      </c>
    </row>
    <row r="106" spans="1:9" x14ac:dyDescent="0.3">
      <c r="A106" s="14">
        <v>104</v>
      </c>
      <c r="B106" s="15">
        <f t="shared" ca="1" si="4"/>
        <v>-0.32060944384922951</v>
      </c>
      <c r="C106" s="16">
        <f ca="1">MAX(0,'1_Inputs'!$B$10*(1+'1_Inputs'!$C$10*$B106))</f>
        <v>185878.11123015409</v>
      </c>
      <c r="D106" s="16">
        <f ca="1">MAX(0,'1_Inputs'!$B$11*(1+'1_Inputs'!$C$11*$B106))</f>
        <v>280763.43336904619</v>
      </c>
      <c r="E106" s="16">
        <f ca="1">MAX(0,'1_Inputs'!$B$12*(1+'1_Inputs'!$C$12*$B106))</f>
        <v>329801.60503749852</v>
      </c>
      <c r="F106" s="16">
        <f ca="1">MAX(0,'1_Inputs'!$B$13*(1+'1_Inputs'!$C$13*$B106))</f>
        <v>376916.12004285544</v>
      </c>
      <c r="G106" s="16">
        <f ca="1">MAX(0,'1_Inputs'!$B$14*(1+'1_Inputs'!$C$14*$B106))</f>
        <v>413931.43756696169</v>
      </c>
      <c r="H106" s="16">
        <f ca="1">NPV('1_Inputs'!$B$5,C106:G106)-'1_Inputs'!$B$4</f>
        <v>98944.58002863708</v>
      </c>
      <c r="I106" s="14" t="str">
        <f t="shared" ca="1" si="5"/>
        <v>VAN&gt;0</v>
      </c>
    </row>
    <row r="107" spans="1:9" x14ac:dyDescent="0.3">
      <c r="A107" s="14">
        <v>105</v>
      </c>
      <c r="B107" s="15">
        <f t="shared" ca="1" si="4"/>
        <v>0.94363526731965286</v>
      </c>
      <c r="C107" s="16">
        <f ca="1">MAX(0,'1_Inputs'!$B$10*(1+'1_Inputs'!$C$10*$B107))</f>
        <v>438727.05346393061</v>
      </c>
      <c r="D107" s="16">
        <f ca="1">MAX(0,'1_Inputs'!$B$11*(1+'1_Inputs'!$C$11*$B107))</f>
        <v>356618.11603917921</v>
      </c>
      <c r="E107" s="16">
        <f ca="1">MAX(0,'1_Inputs'!$B$12*(1+'1_Inputs'!$C$12*$B107))</f>
        <v>409449.02184113808</v>
      </c>
      <c r="F107" s="16">
        <f ca="1">MAX(0,'1_Inputs'!$B$13*(1+'1_Inputs'!$C$13*$B107))</f>
        <v>467941.73924701498</v>
      </c>
      <c r="G107" s="16">
        <f ca="1">MAX(0,'1_Inputs'!$B$14*(1+'1_Inputs'!$C$14*$B107))</f>
        <v>556158.96757346101</v>
      </c>
      <c r="H107" s="16">
        <f ca="1">NPV('1_Inputs'!$B$5,C107:G107)-'1_Inputs'!$B$4</f>
        <v>580417.05759478384</v>
      </c>
      <c r="I107" s="14" t="str">
        <f t="shared" ca="1" si="5"/>
        <v>VAN&gt;0</v>
      </c>
    </row>
    <row r="108" spans="1:9" x14ac:dyDescent="0.3">
      <c r="A108" s="14">
        <v>106</v>
      </c>
      <c r="B108" s="15">
        <f t="shared" ca="1" si="4"/>
        <v>-0.67330473415062486</v>
      </c>
      <c r="C108" s="16">
        <f ca="1">MAX(0,'1_Inputs'!$B$10*(1+'1_Inputs'!$C$10*$B108))</f>
        <v>115339.05316987503</v>
      </c>
      <c r="D108" s="16">
        <f ca="1">MAX(0,'1_Inputs'!$B$11*(1+'1_Inputs'!$C$11*$B108))</f>
        <v>259601.71595096251</v>
      </c>
      <c r="E108" s="16">
        <f ca="1">MAX(0,'1_Inputs'!$B$12*(1+'1_Inputs'!$C$12*$B108))</f>
        <v>307581.80174851062</v>
      </c>
      <c r="F108" s="16">
        <f ca="1">MAX(0,'1_Inputs'!$B$13*(1+'1_Inputs'!$C$13*$B108))</f>
        <v>351522.05914115504</v>
      </c>
      <c r="G108" s="16">
        <f ca="1">MAX(0,'1_Inputs'!$B$14*(1+'1_Inputs'!$C$14*$B108))</f>
        <v>374253.21740805474</v>
      </c>
      <c r="H108" s="16">
        <f ca="1">NPV('1_Inputs'!$B$5,C108:G108)-'1_Inputs'!$B$4</f>
        <v>-35375.202958882786</v>
      </c>
      <c r="I108" s="14" t="str">
        <f t="shared" ca="1" si="5"/>
        <v>VAN&lt;0</v>
      </c>
    </row>
    <row r="109" spans="1:9" x14ac:dyDescent="0.3">
      <c r="A109" s="14">
        <v>107</v>
      </c>
      <c r="B109" s="15">
        <f t="shared" ca="1" si="4"/>
        <v>-1.7155577272300397</v>
      </c>
      <c r="C109" s="16">
        <f ca="1">MAX(0,'1_Inputs'!$B$10*(1+'1_Inputs'!$C$10*$B109))</f>
        <v>0</v>
      </c>
      <c r="D109" s="16">
        <f ca="1">MAX(0,'1_Inputs'!$B$11*(1+'1_Inputs'!$C$11*$B109))</f>
        <v>197066.5363661976</v>
      </c>
      <c r="E109" s="16">
        <f ca="1">MAX(0,'1_Inputs'!$B$12*(1+'1_Inputs'!$C$12*$B109))</f>
        <v>241919.86318450747</v>
      </c>
      <c r="F109" s="16">
        <f ca="1">MAX(0,'1_Inputs'!$B$13*(1+'1_Inputs'!$C$13*$B109))</f>
        <v>276479.84363943711</v>
      </c>
      <c r="G109" s="16">
        <f ca="1">MAX(0,'1_Inputs'!$B$14*(1+'1_Inputs'!$C$14*$B109))</f>
        <v>256999.75568662054</v>
      </c>
      <c r="H109" s="16">
        <f ca="1">NPV('1_Inputs'!$B$5,C109:G109)-'1_Inputs'!$B$4</f>
        <v>-349169.48133311619</v>
      </c>
      <c r="I109" s="14" t="str">
        <f t="shared" ca="1" si="5"/>
        <v>VAN&lt;0</v>
      </c>
    </row>
    <row r="110" spans="1:9" x14ac:dyDescent="0.3">
      <c r="A110" s="14">
        <v>108</v>
      </c>
      <c r="B110" s="15">
        <f t="shared" ca="1" si="4"/>
        <v>0.81722429678887465</v>
      </c>
      <c r="C110" s="16">
        <f ca="1">MAX(0,'1_Inputs'!$B$10*(1+'1_Inputs'!$C$10*$B110))</f>
        <v>413444.85935777496</v>
      </c>
      <c r="D110" s="16">
        <f ca="1">MAX(0,'1_Inputs'!$B$11*(1+'1_Inputs'!$C$11*$B110))</f>
        <v>349033.45780733245</v>
      </c>
      <c r="E110" s="16">
        <f ca="1">MAX(0,'1_Inputs'!$B$12*(1+'1_Inputs'!$C$12*$B110))</f>
        <v>401485.13069769909</v>
      </c>
      <c r="F110" s="16">
        <f ca="1">MAX(0,'1_Inputs'!$B$13*(1+'1_Inputs'!$C$13*$B110))</f>
        <v>458840.14936879894</v>
      </c>
      <c r="G110" s="16">
        <f ca="1">MAX(0,'1_Inputs'!$B$14*(1+'1_Inputs'!$C$14*$B110))</f>
        <v>541937.73338874837</v>
      </c>
      <c r="H110" s="16">
        <f ca="1">NPV('1_Inputs'!$B$5,C110:G110)-'1_Inputs'!$B$4</f>
        <v>532274.95137491846</v>
      </c>
      <c r="I110" s="14" t="str">
        <f t="shared" ca="1" si="5"/>
        <v>VAN&gt;0</v>
      </c>
    </row>
    <row r="111" spans="1:9" x14ac:dyDescent="0.3">
      <c r="A111" s="14">
        <v>109</v>
      </c>
      <c r="B111" s="15">
        <f t="shared" ca="1" si="4"/>
        <v>5.4486097527868087E-2</v>
      </c>
      <c r="C111" s="16">
        <f ca="1">MAX(0,'1_Inputs'!$B$10*(1+'1_Inputs'!$C$10*$B111))</f>
        <v>260897.21950557359</v>
      </c>
      <c r="D111" s="16">
        <f ca="1">MAX(0,'1_Inputs'!$B$11*(1+'1_Inputs'!$C$11*$B111))</f>
        <v>303269.16585167212</v>
      </c>
      <c r="E111" s="16">
        <f ca="1">MAX(0,'1_Inputs'!$B$12*(1+'1_Inputs'!$C$12*$B111))</f>
        <v>353432.62414425565</v>
      </c>
      <c r="F111" s="16">
        <f ca="1">MAX(0,'1_Inputs'!$B$13*(1+'1_Inputs'!$C$13*$B111))</f>
        <v>403922.99902200646</v>
      </c>
      <c r="G111" s="16">
        <f ca="1">MAX(0,'1_Inputs'!$B$14*(1+'1_Inputs'!$C$14*$B111))</f>
        <v>456129.68597188516</v>
      </c>
      <c r="H111" s="16">
        <f ca="1">NPV('1_Inputs'!$B$5,C111:G111)-'1_Inputs'!$B$4</f>
        <v>241795.23072574055</v>
      </c>
      <c r="I111" s="14" t="str">
        <f t="shared" ca="1" si="5"/>
        <v>VAN&gt;0</v>
      </c>
    </row>
    <row r="112" spans="1:9" x14ac:dyDescent="0.3">
      <c r="A112" s="14">
        <v>110</v>
      </c>
      <c r="B112" s="15">
        <f t="shared" ca="1" si="4"/>
        <v>0.37757900766945479</v>
      </c>
      <c r="C112" s="16">
        <f ca="1">MAX(0,'1_Inputs'!$B$10*(1+'1_Inputs'!$C$10*$B112))</f>
        <v>325515.801533891</v>
      </c>
      <c r="D112" s="16">
        <f ca="1">MAX(0,'1_Inputs'!$B$11*(1+'1_Inputs'!$C$11*$B112))</f>
        <v>322654.74046016729</v>
      </c>
      <c r="E112" s="16">
        <f ca="1">MAX(0,'1_Inputs'!$B$12*(1+'1_Inputs'!$C$12*$B112))</f>
        <v>373787.47748317564</v>
      </c>
      <c r="F112" s="16">
        <f ca="1">MAX(0,'1_Inputs'!$B$13*(1+'1_Inputs'!$C$13*$B112))</f>
        <v>427185.68855220074</v>
      </c>
      <c r="G112" s="16">
        <f ca="1">MAX(0,'1_Inputs'!$B$14*(1+'1_Inputs'!$C$14*$B112))</f>
        <v>492477.63836281368</v>
      </c>
      <c r="H112" s="16">
        <f ca="1">NPV('1_Inputs'!$B$5,C112:G112)-'1_Inputs'!$B$4</f>
        <v>364841.301281258</v>
      </c>
      <c r="I112" s="14" t="str">
        <f t="shared" ca="1" si="5"/>
        <v>VAN&gt;0</v>
      </c>
    </row>
    <row r="113" spans="1:9" x14ac:dyDescent="0.3">
      <c r="A113" s="14">
        <v>111</v>
      </c>
      <c r="B113" s="15">
        <f t="shared" ca="1" si="4"/>
        <v>0.77287208679553454</v>
      </c>
      <c r="C113" s="16">
        <f ca="1">MAX(0,'1_Inputs'!$B$10*(1+'1_Inputs'!$C$10*$B113))</f>
        <v>404574.41735910694</v>
      </c>
      <c r="D113" s="16">
        <f ca="1">MAX(0,'1_Inputs'!$B$11*(1+'1_Inputs'!$C$11*$B113))</f>
        <v>346372.32520773209</v>
      </c>
      <c r="E113" s="16">
        <f ca="1">MAX(0,'1_Inputs'!$B$12*(1+'1_Inputs'!$C$12*$B113))</f>
        <v>398690.94146811869</v>
      </c>
      <c r="F113" s="16">
        <f ca="1">MAX(0,'1_Inputs'!$B$13*(1+'1_Inputs'!$C$13*$B113))</f>
        <v>455646.79024927848</v>
      </c>
      <c r="G113" s="16">
        <f ca="1">MAX(0,'1_Inputs'!$B$14*(1+'1_Inputs'!$C$14*$B113))</f>
        <v>536948.10976449761</v>
      </c>
      <c r="H113" s="16">
        <f ca="1">NPV('1_Inputs'!$B$5,C113:G113)-'1_Inputs'!$B$4</f>
        <v>515383.94266246445</v>
      </c>
      <c r="I113" s="14" t="str">
        <f t="shared" ca="1" si="5"/>
        <v>VAN&gt;0</v>
      </c>
    </row>
    <row r="114" spans="1:9" x14ac:dyDescent="0.3">
      <c r="A114" s="14">
        <v>112</v>
      </c>
      <c r="B114" s="15">
        <f t="shared" ca="1" si="4"/>
        <v>0.83045308356062886</v>
      </c>
      <c r="C114" s="16">
        <f ca="1">MAX(0,'1_Inputs'!$B$10*(1+'1_Inputs'!$C$10*$B114))</f>
        <v>416090.61671212577</v>
      </c>
      <c r="D114" s="16">
        <f ca="1">MAX(0,'1_Inputs'!$B$11*(1+'1_Inputs'!$C$11*$B114))</f>
        <v>349827.18501363776</v>
      </c>
      <c r="E114" s="16">
        <f ca="1">MAX(0,'1_Inputs'!$B$12*(1+'1_Inputs'!$C$12*$B114))</f>
        <v>402318.54426431964</v>
      </c>
      <c r="F114" s="16">
        <f ca="1">MAX(0,'1_Inputs'!$B$13*(1+'1_Inputs'!$C$13*$B114))</f>
        <v>459792.62201636529</v>
      </c>
      <c r="G114" s="16">
        <f ca="1">MAX(0,'1_Inputs'!$B$14*(1+'1_Inputs'!$C$14*$B114))</f>
        <v>543425.97190057079</v>
      </c>
      <c r="H114" s="16">
        <f ca="1">NPV('1_Inputs'!$B$5,C114:G114)-'1_Inputs'!$B$4</f>
        <v>537312.9765973473</v>
      </c>
      <c r="I114" s="14" t="str">
        <f t="shared" ca="1" si="5"/>
        <v>VAN&gt;0</v>
      </c>
    </row>
    <row r="115" spans="1:9" x14ac:dyDescent="0.3">
      <c r="A115" s="14">
        <v>113</v>
      </c>
      <c r="B115" s="15">
        <f t="shared" ca="1" si="4"/>
        <v>1.385501925387262</v>
      </c>
      <c r="C115" s="16">
        <f ca="1">MAX(0,'1_Inputs'!$B$10*(1+'1_Inputs'!$C$10*$B115))</f>
        <v>527100.38507745252</v>
      </c>
      <c r="D115" s="16">
        <f ca="1">MAX(0,'1_Inputs'!$B$11*(1+'1_Inputs'!$C$11*$B115))</f>
        <v>383130.11552323576</v>
      </c>
      <c r="E115" s="16">
        <f ca="1">MAX(0,'1_Inputs'!$B$12*(1+'1_Inputs'!$C$12*$B115))</f>
        <v>437286.62129939749</v>
      </c>
      <c r="F115" s="16">
        <f ca="1">MAX(0,'1_Inputs'!$B$13*(1+'1_Inputs'!$C$13*$B115))</f>
        <v>499756.13862788287</v>
      </c>
      <c r="G115" s="16">
        <f ca="1">MAX(0,'1_Inputs'!$B$14*(1+'1_Inputs'!$C$14*$B115))</f>
        <v>605868.96660606691</v>
      </c>
      <c r="H115" s="16">
        <f ca="1">NPV('1_Inputs'!$B$5,C115:G115)-'1_Inputs'!$B$4</f>
        <v>748696.6894842349</v>
      </c>
      <c r="I115" s="14" t="str">
        <f t="shared" ca="1" si="5"/>
        <v>VAN&gt;0</v>
      </c>
    </row>
    <row r="116" spans="1:9" x14ac:dyDescent="0.3">
      <c r="A116" s="14">
        <v>114</v>
      </c>
      <c r="B116" s="15">
        <f t="shared" ca="1" si="4"/>
        <v>-1.2811726182418639</v>
      </c>
      <c r="C116" s="16">
        <f ca="1">MAX(0,'1_Inputs'!$B$10*(1+'1_Inputs'!$C$10*$B116))</f>
        <v>0</v>
      </c>
      <c r="D116" s="16">
        <f ca="1">MAX(0,'1_Inputs'!$B$11*(1+'1_Inputs'!$C$11*$B116))</f>
        <v>223129.64290548817</v>
      </c>
      <c r="E116" s="16">
        <f ca="1">MAX(0,'1_Inputs'!$B$12*(1+'1_Inputs'!$C$12*$B116))</f>
        <v>269286.12505076255</v>
      </c>
      <c r="F116" s="16">
        <f ca="1">MAX(0,'1_Inputs'!$B$13*(1+'1_Inputs'!$C$13*$B116))</f>
        <v>307755.57148658577</v>
      </c>
      <c r="G116" s="16">
        <f ca="1">MAX(0,'1_Inputs'!$B$14*(1+'1_Inputs'!$C$14*$B116))</f>
        <v>305868.08044779033</v>
      </c>
      <c r="H116" s="16">
        <f ca="1">NPV('1_Inputs'!$B$5,C116:G116)-'1_Inputs'!$B$4</f>
        <v>-261307.87739154568</v>
      </c>
      <c r="I116" s="14" t="str">
        <f t="shared" ca="1" si="5"/>
        <v>VAN&lt;0</v>
      </c>
    </row>
    <row r="117" spans="1:9" x14ac:dyDescent="0.3">
      <c r="A117" s="14">
        <v>115</v>
      </c>
      <c r="B117" s="15">
        <f t="shared" ca="1" si="4"/>
        <v>1.9598705040028639</v>
      </c>
      <c r="C117" s="16">
        <f ca="1">MAX(0,'1_Inputs'!$B$10*(1+'1_Inputs'!$C$10*$B117))</f>
        <v>641974.10080057278</v>
      </c>
      <c r="D117" s="16">
        <f ca="1">MAX(0,'1_Inputs'!$B$11*(1+'1_Inputs'!$C$11*$B117))</f>
        <v>417592.23024017183</v>
      </c>
      <c r="E117" s="16">
        <f ca="1">MAX(0,'1_Inputs'!$B$12*(1+'1_Inputs'!$C$12*$B117))</f>
        <v>473471.84175218042</v>
      </c>
      <c r="F117" s="16">
        <f ca="1">MAX(0,'1_Inputs'!$B$13*(1+'1_Inputs'!$C$13*$B117))</f>
        <v>541110.67628820613</v>
      </c>
      <c r="G117" s="16">
        <f ca="1">MAX(0,'1_Inputs'!$B$14*(1+'1_Inputs'!$C$14*$B117))</f>
        <v>670485.43170032219</v>
      </c>
      <c r="H117" s="16">
        <f ca="1">NPV('1_Inputs'!$B$5,C117:G117)-'1_Inputs'!$B$4</f>
        <v>967438.09305832372</v>
      </c>
      <c r="I117" s="14" t="str">
        <f t="shared" ca="1" si="5"/>
        <v>VAN&gt;0</v>
      </c>
    </row>
    <row r="118" spans="1:9" x14ac:dyDescent="0.3">
      <c r="A118" s="14">
        <v>116</v>
      </c>
      <c r="B118" s="15">
        <f t="shared" ca="1" si="4"/>
        <v>-0.63425901507672022</v>
      </c>
      <c r="C118" s="16">
        <f ca="1">MAX(0,'1_Inputs'!$B$10*(1+'1_Inputs'!$C$10*$B118))</f>
        <v>123148.19698465595</v>
      </c>
      <c r="D118" s="16">
        <f ca="1">MAX(0,'1_Inputs'!$B$11*(1+'1_Inputs'!$C$11*$B118))</f>
        <v>261944.4590953968</v>
      </c>
      <c r="E118" s="16">
        <f ca="1">MAX(0,'1_Inputs'!$B$12*(1+'1_Inputs'!$C$12*$B118))</f>
        <v>310041.68205016665</v>
      </c>
      <c r="F118" s="16">
        <f ca="1">MAX(0,'1_Inputs'!$B$13*(1+'1_Inputs'!$C$13*$B118))</f>
        <v>354333.35091447615</v>
      </c>
      <c r="G118" s="16">
        <f ca="1">MAX(0,'1_Inputs'!$B$14*(1+'1_Inputs'!$C$14*$B118))</f>
        <v>378645.86080386897</v>
      </c>
      <c r="H118" s="16">
        <f ca="1">NPV('1_Inputs'!$B$5,C118:G118)-'1_Inputs'!$B$4</f>
        <v>-20505.107846138766</v>
      </c>
      <c r="I118" s="14" t="str">
        <f t="shared" ca="1" si="5"/>
        <v>VAN&lt;0</v>
      </c>
    </row>
    <row r="119" spans="1:9" x14ac:dyDescent="0.3">
      <c r="A119" s="14">
        <v>117</v>
      </c>
      <c r="B119" s="15">
        <f t="shared" ca="1" si="4"/>
        <v>0.2712049695339267</v>
      </c>
      <c r="C119" s="16">
        <f ca="1">MAX(0,'1_Inputs'!$B$10*(1+'1_Inputs'!$C$10*$B119))</f>
        <v>304240.99390678533</v>
      </c>
      <c r="D119" s="16">
        <f ca="1">MAX(0,'1_Inputs'!$B$11*(1+'1_Inputs'!$C$11*$B119))</f>
        <v>316272.2981720356</v>
      </c>
      <c r="E119" s="16">
        <f ca="1">MAX(0,'1_Inputs'!$B$12*(1+'1_Inputs'!$C$12*$B119))</f>
        <v>367085.91308063734</v>
      </c>
      <c r="F119" s="16">
        <f ca="1">MAX(0,'1_Inputs'!$B$13*(1+'1_Inputs'!$C$13*$B119))</f>
        <v>419526.75780644268</v>
      </c>
      <c r="G119" s="16">
        <f ca="1">MAX(0,'1_Inputs'!$B$14*(1+'1_Inputs'!$C$14*$B119))</f>
        <v>480510.5590725668</v>
      </c>
      <c r="H119" s="16">
        <f ca="1">NPV('1_Inputs'!$B$5,C119:G119)-'1_Inputs'!$B$4</f>
        <v>324330.0211174076</v>
      </c>
      <c r="I119" s="14" t="str">
        <f t="shared" ca="1" si="5"/>
        <v>VAN&gt;0</v>
      </c>
    </row>
    <row r="120" spans="1:9" x14ac:dyDescent="0.3">
      <c r="A120" s="14">
        <v>118</v>
      </c>
      <c r="B120" s="15">
        <f t="shared" ca="1" si="4"/>
        <v>0.19748064307340757</v>
      </c>
      <c r="C120" s="16">
        <f ca="1">MAX(0,'1_Inputs'!$B$10*(1+'1_Inputs'!$C$10*$B120))</f>
        <v>289496.12861468154</v>
      </c>
      <c r="D120" s="16">
        <f ca="1">MAX(0,'1_Inputs'!$B$11*(1+'1_Inputs'!$C$11*$B120))</f>
        <v>311848.83858440444</v>
      </c>
      <c r="E120" s="16">
        <f ca="1">MAX(0,'1_Inputs'!$B$12*(1+'1_Inputs'!$C$12*$B120))</f>
        <v>362441.28051362466</v>
      </c>
      <c r="F120" s="16">
        <f ca="1">MAX(0,'1_Inputs'!$B$13*(1+'1_Inputs'!$C$13*$B120))</f>
        <v>414218.60630128533</v>
      </c>
      <c r="G120" s="16">
        <f ca="1">MAX(0,'1_Inputs'!$B$14*(1+'1_Inputs'!$C$14*$B120))</f>
        <v>472216.57234575832</v>
      </c>
      <c r="H120" s="16">
        <f ca="1">NPV('1_Inputs'!$B$5,C120:G120)-'1_Inputs'!$B$4</f>
        <v>296252.9931462782</v>
      </c>
      <c r="I120" s="14" t="str">
        <f t="shared" ca="1" si="5"/>
        <v>VAN&gt;0</v>
      </c>
    </row>
    <row r="121" spans="1:9" x14ac:dyDescent="0.3">
      <c r="A121" s="14">
        <v>119</v>
      </c>
      <c r="B121" s="15">
        <f t="shared" ca="1" si="4"/>
        <v>0.72962603922909886</v>
      </c>
      <c r="C121" s="16">
        <f ca="1">MAX(0,'1_Inputs'!$B$10*(1+'1_Inputs'!$C$10*$B121))</f>
        <v>395925.20784581976</v>
      </c>
      <c r="D121" s="16">
        <f ca="1">MAX(0,'1_Inputs'!$B$11*(1+'1_Inputs'!$C$11*$B121))</f>
        <v>343777.56235374592</v>
      </c>
      <c r="E121" s="16">
        <f ca="1">MAX(0,'1_Inputs'!$B$12*(1+'1_Inputs'!$C$12*$B121))</f>
        <v>395966.44047143316</v>
      </c>
      <c r="F121" s="16">
        <f ca="1">MAX(0,'1_Inputs'!$B$13*(1+'1_Inputs'!$C$13*$B121))</f>
        <v>452533.07482449507</v>
      </c>
      <c r="G121" s="16">
        <f ca="1">MAX(0,'1_Inputs'!$B$14*(1+'1_Inputs'!$C$14*$B121))</f>
        <v>532082.92941327358</v>
      </c>
      <c r="H121" s="16">
        <f ca="1">NPV('1_Inputs'!$B$5,C121:G121)-'1_Inputs'!$B$4</f>
        <v>498914.20268031815</v>
      </c>
      <c r="I121" s="14" t="str">
        <f t="shared" ca="1" si="5"/>
        <v>VAN&gt;0</v>
      </c>
    </row>
    <row r="122" spans="1:9" x14ac:dyDescent="0.3">
      <c r="A122" s="14">
        <v>120</v>
      </c>
      <c r="B122" s="15">
        <f t="shared" ca="1" si="4"/>
        <v>-1.1476920528592158</v>
      </c>
      <c r="C122" s="16">
        <f ca="1">MAX(0,'1_Inputs'!$B$10*(1+'1_Inputs'!$C$10*$B122))</f>
        <v>20461.589428156818</v>
      </c>
      <c r="D122" s="16">
        <f ca="1">MAX(0,'1_Inputs'!$B$11*(1+'1_Inputs'!$C$11*$B122))</f>
        <v>231138.47682844705</v>
      </c>
      <c r="E122" s="16">
        <f ca="1">MAX(0,'1_Inputs'!$B$12*(1+'1_Inputs'!$C$12*$B122))</f>
        <v>277695.40066986938</v>
      </c>
      <c r="F122" s="16">
        <f ca="1">MAX(0,'1_Inputs'!$B$13*(1+'1_Inputs'!$C$13*$B122))</f>
        <v>317366.17219413648</v>
      </c>
      <c r="G122" s="16">
        <f ca="1">MAX(0,'1_Inputs'!$B$14*(1+'1_Inputs'!$C$14*$B122))</f>
        <v>320884.64405333821</v>
      </c>
      <c r="H122" s="16">
        <f ca="1">NPV('1_Inputs'!$B$5,C122:G122)-'1_Inputs'!$B$4</f>
        <v>-216039.93949822756</v>
      </c>
      <c r="I122" s="14" t="str">
        <f t="shared" ca="1" si="5"/>
        <v>VAN&lt;0</v>
      </c>
    </row>
    <row r="123" spans="1:9" x14ac:dyDescent="0.3">
      <c r="A123" s="14">
        <v>121</v>
      </c>
      <c r="B123" s="15">
        <f t="shared" ca="1" si="4"/>
        <v>-0.21321368683199463</v>
      </c>
      <c r="C123" s="16">
        <f ca="1">MAX(0,'1_Inputs'!$B$10*(1+'1_Inputs'!$C$10*$B123))</f>
        <v>207357.26263360109</v>
      </c>
      <c r="D123" s="16">
        <f ca="1">MAX(0,'1_Inputs'!$B$11*(1+'1_Inputs'!$C$11*$B123))</f>
        <v>287207.1787900803</v>
      </c>
      <c r="E123" s="16">
        <f ca="1">MAX(0,'1_Inputs'!$B$12*(1+'1_Inputs'!$C$12*$B123))</f>
        <v>336567.53772958432</v>
      </c>
      <c r="F123" s="16">
        <f ca="1">MAX(0,'1_Inputs'!$B$13*(1+'1_Inputs'!$C$13*$B123))</f>
        <v>384648.61454809638</v>
      </c>
      <c r="G123" s="16">
        <f ca="1">MAX(0,'1_Inputs'!$B$14*(1+'1_Inputs'!$C$14*$B123))</f>
        <v>426013.46023140062</v>
      </c>
      <c r="H123" s="16">
        <f ca="1">NPV('1_Inputs'!$B$5,C123:G123)-'1_Inputs'!$B$4</f>
        <v>139844.96960857254</v>
      </c>
      <c r="I123" s="14" t="str">
        <f t="shared" ca="1" si="5"/>
        <v>VAN&gt;0</v>
      </c>
    </row>
    <row r="124" spans="1:9" x14ac:dyDescent="0.3">
      <c r="A124" s="14">
        <v>122</v>
      </c>
      <c r="B124" s="15">
        <f t="shared" ca="1" si="4"/>
        <v>-0.38898474570256769</v>
      </c>
      <c r="C124" s="16">
        <f ca="1">MAX(0,'1_Inputs'!$B$10*(1+'1_Inputs'!$C$10*$B124))</f>
        <v>172203.05085948645</v>
      </c>
      <c r="D124" s="16">
        <f ca="1">MAX(0,'1_Inputs'!$B$11*(1+'1_Inputs'!$C$11*$B124))</f>
        <v>276660.91525784595</v>
      </c>
      <c r="E124" s="16">
        <f ca="1">MAX(0,'1_Inputs'!$B$12*(1+'1_Inputs'!$C$12*$B124))</f>
        <v>325493.96102073824</v>
      </c>
      <c r="F124" s="16">
        <f ca="1">MAX(0,'1_Inputs'!$B$13*(1+'1_Inputs'!$C$13*$B124))</f>
        <v>371993.0983094151</v>
      </c>
      <c r="G124" s="16">
        <f ca="1">MAX(0,'1_Inputs'!$B$14*(1+'1_Inputs'!$C$14*$B124))</f>
        <v>406239.21610846109</v>
      </c>
      <c r="H124" s="16">
        <f ca="1">NPV('1_Inputs'!$B$5,C124:G124)-'1_Inputs'!$B$4</f>
        <v>72904.664103482151</v>
      </c>
      <c r="I124" s="14" t="str">
        <f t="shared" ca="1" si="5"/>
        <v>VAN&gt;0</v>
      </c>
    </row>
    <row r="125" spans="1:9" x14ac:dyDescent="0.3">
      <c r="A125" s="14">
        <v>123</v>
      </c>
      <c r="B125" s="15">
        <f t="shared" ca="1" si="4"/>
        <v>-0.20584572496300726</v>
      </c>
      <c r="C125" s="16">
        <f ca="1">MAX(0,'1_Inputs'!$B$10*(1+'1_Inputs'!$C$10*$B125))</f>
        <v>208830.85500739852</v>
      </c>
      <c r="D125" s="16">
        <f ca="1">MAX(0,'1_Inputs'!$B$11*(1+'1_Inputs'!$C$11*$B125))</f>
        <v>287649.25650221953</v>
      </c>
      <c r="E125" s="16">
        <f ca="1">MAX(0,'1_Inputs'!$B$12*(1+'1_Inputs'!$C$12*$B125))</f>
        <v>337031.71932733053</v>
      </c>
      <c r="F125" s="16">
        <f ca="1">MAX(0,'1_Inputs'!$B$13*(1+'1_Inputs'!$C$13*$B125))</f>
        <v>385179.10780266346</v>
      </c>
      <c r="G125" s="16">
        <f ca="1">MAX(0,'1_Inputs'!$B$14*(1+'1_Inputs'!$C$14*$B125))</f>
        <v>426842.35594166163</v>
      </c>
      <c r="H125" s="16">
        <f ca="1">NPV('1_Inputs'!$B$5,C125:G125)-'1_Inputs'!$B$4</f>
        <v>142650.96976371179</v>
      </c>
      <c r="I125" s="14" t="str">
        <f t="shared" ca="1" si="5"/>
        <v>VAN&gt;0</v>
      </c>
    </row>
    <row r="126" spans="1:9" x14ac:dyDescent="0.3">
      <c r="A126" s="14">
        <v>124</v>
      </c>
      <c r="B126" s="15">
        <f t="shared" ca="1" si="4"/>
        <v>-0.20597531498646141</v>
      </c>
      <c r="C126" s="16">
        <f ca="1">MAX(0,'1_Inputs'!$B$10*(1+'1_Inputs'!$C$10*$B126))</f>
        <v>208804.93700270771</v>
      </c>
      <c r="D126" s="16">
        <f ca="1">MAX(0,'1_Inputs'!$B$11*(1+'1_Inputs'!$C$11*$B126))</f>
        <v>287641.48110081232</v>
      </c>
      <c r="E126" s="16">
        <f ca="1">MAX(0,'1_Inputs'!$B$12*(1+'1_Inputs'!$C$12*$B126))</f>
        <v>337023.55515585293</v>
      </c>
      <c r="F126" s="16">
        <f ca="1">MAX(0,'1_Inputs'!$B$13*(1+'1_Inputs'!$C$13*$B126))</f>
        <v>385169.7773209748</v>
      </c>
      <c r="G126" s="16">
        <f ca="1">MAX(0,'1_Inputs'!$B$14*(1+'1_Inputs'!$C$14*$B126))</f>
        <v>426827.77706402307</v>
      </c>
      <c r="H126" s="16">
        <f ca="1">NPV('1_Inputs'!$B$5,C126:G126)-'1_Inputs'!$B$4</f>
        <v>142601.61695320858</v>
      </c>
      <c r="I126" s="14" t="str">
        <f t="shared" ca="1" si="5"/>
        <v>VAN&gt;0</v>
      </c>
    </row>
    <row r="127" spans="1:9" x14ac:dyDescent="0.3">
      <c r="A127" s="14">
        <v>125</v>
      </c>
      <c r="B127" s="15">
        <f t="shared" ca="1" si="4"/>
        <v>0.19751457143921675</v>
      </c>
      <c r="C127" s="16">
        <f ca="1">MAX(0,'1_Inputs'!$B$10*(1+'1_Inputs'!$C$10*$B127))</f>
        <v>289502.91428784333</v>
      </c>
      <c r="D127" s="16">
        <f ca="1">MAX(0,'1_Inputs'!$B$11*(1+'1_Inputs'!$C$11*$B127))</f>
        <v>311850.87428635301</v>
      </c>
      <c r="E127" s="16">
        <f ca="1">MAX(0,'1_Inputs'!$B$12*(1+'1_Inputs'!$C$12*$B127))</f>
        <v>362443.41800067067</v>
      </c>
      <c r="F127" s="16">
        <f ca="1">MAX(0,'1_Inputs'!$B$13*(1+'1_Inputs'!$C$13*$B127))</f>
        <v>414221.04914362362</v>
      </c>
      <c r="G127" s="16">
        <f ca="1">MAX(0,'1_Inputs'!$B$14*(1+'1_Inputs'!$C$14*$B127))</f>
        <v>472220.38928691187</v>
      </c>
      <c r="H127" s="16">
        <f ca="1">NPV('1_Inputs'!$B$5,C127:G127)-'1_Inputs'!$B$4</f>
        <v>296265.91435860447</v>
      </c>
      <c r="I127" s="14" t="str">
        <f t="shared" ca="1" si="5"/>
        <v>VAN&gt;0</v>
      </c>
    </row>
    <row r="128" spans="1:9" x14ac:dyDescent="0.3">
      <c r="A128" s="14">
        <v>126</v>
      </c>
      <c r="B128" s="15">
        <f t="shared" ca="1" si="4"/>
        <v>-2.6945503317830073</v>
      </c>
      <c r="C128" s="16">
        <f ca="1">MAX(0,'1_Inputs'!$B$10*(1+'1_Inputs'!$C$10*$B128))</f>
        <v>0</v>
      </c>
      <c r="D128" s="16">
        <f ca="1">MAX(0,'1_Inputs'!$B$11*(1+'1_Inputs'!$C$11*$B128))</f>
        <v>138326.98009301958</v>
      </c>
      <c r="E128" s="16">
        <f ca="1">MAX(0,'1_Inputs'!$B$12*(1+'1_Inputs'!$C$12*$B128))</f>
        <v>180243.32909767056</v>
      </c>
      <c r="F128" s="16">
        <f ca="1">MAX(0,'1_Inputs'!$B$13*(1+'1_Inputs'!$C$13*$B128))</f>
        <v>205992.37611162348</v>
      </c>
      <c r="G128" s="16">
        <f ca="1">MAX(0,'1_Inputs'!$B$14*(1+'1_Inputs'!$C$14*$B128))</f>
        <v>146863.08767441168</v>
      </c>
      <c r="H128" s="16">
        <f ca="1">NPV('1_Inputs'!$B$5,C128:G128)-'1_Inputs'!$B$4</f>
        <v>-547186.99782514828</v>
      </c>
      <c r="I128" s="14" t="str">
        <f t="shared" ca="1" si="5"/>
        <v>VAN&lt;0</v>
      </c>
    </row>
    <row r="129" spans="1:9" x14ac:dyDescent="0.3">
      <c r="A129" s="14">
        <v>127</v>
      </c>
      <c r="B129" s="15">
        <f t="shared" ca="1" si="4"/>
        <v>1.2894289130427752</v>
      </c>
      <c r="C129" s="16">
        <f ca="1">MAX(0,'1_Inputs'!$B$10*(1+'1_Inputs'!$C$10*$B129))</f>
        <v>507885.78260855499</v>
      </c>
      <c r="D129" s="16">
        <f ca="1">MAX(0,'1_Inputs'!$B$11*(1+'1_Inputs'!$C$11*$B129))</f>
        <v>377365.73478256649</v>
      </c>
      <c r="E129" s="16">
        <f ca="1">MAX(0,'1_Inputs'!$B$12*(1+'1_Inputs'!$C$12*$B129))</f>
        <v>431234.0215216949</v>
      </c>
      <c r="F129" s="16">
        <f ca="1">MAX(0,'1_Inputs'!$B$13*(1+'1_Inputs'!$C$13*$B129))</f>
        <v>492838.88173907984</v>
      </c>
      <c r="G129" s="16">
        <f ca="1">MAX(0,'1_Inputs'!$B$14*(1+'1_Inputs'!$C$14*$B129))</f>
        <v>595060.75271731219</v>
      </c>
      <c r="H129" s="16">
        <f ca="1">NPV('1_Inputs'!$B$5,C129:G129)-'1_Inputs'!$B$4</f>
        <v>712108.4317900613</v>
      </c>
      <c r="I129" s="14" t="str">
        <f t="shared" ca="1" si="5"/>
        <v>VAN&gt;0</v>
      </c>
    </row>
    <row r="130" spans="1:9" x14ac:dyDescent="0.3">
      <c r="A130" s="14">
        <v>128</v>
      </c>
      <c r="B130" s="15">
        <f t="shared" ca="1" si="4"/>
        <v>-0.37094558408775657</v>
      </c>
      <c r="C130" s="16">
        <f ca="1">MAX(0,'1_Inputs'!$B$10*(1+'1_Inputs'!$C$10*$B130))</f>
        <v>175810.88318244868</v>
      </c>
      <c r="D130" s="16">
        <f ca="1">MAX(0,'1_Inputs'!$B$11*(1+'1_Inputs'!$C$11*$B130))</f>
        <v>277743.26495473459</v>
      </c>
      <c r="E130" s="16">
        <f ca="1">MAX(0,'1_Inputs'!$B$12*(1+'1_Inputs'!$C$12*$B130))</f>
        <v>326630.42820247135</v>
      </c>
      <c r="F130" s="16">
        <f ca="1">MAX(0,'1_Inputs'!$B$13*(1+'1_Inputs'!$C$13*$B130))</f>
        <v>373291.91794568155</v>
      </c>
      <c r="G130" s="16">
        <f ca="1">MAX(0,'1_Inputs'!$B$14*(1+'1_Inputs'!$C$14*$B130))</f>
        <v>408268.62179012736</v>
      </c>
      <c r="H130" s="16">
        <f ca="1">NPV('1_Inputs'!$B$5,C130:G130)-'1_Inputs'!$B$4</f>
        <v>79774.663051604293</v>
      </c>
      <c r="I130" s="14" t="str">
        <f t="shared" ca="1" si="5"/>
        <v>VAN&gt;0</v>
      </c>
    </row>
    <row r="131" spans="1:9" x14ac:dyDescent="0.3">
      <c r="A131" s="14">
        <v>129</v>
      </c>
      <c r="B131" s="15">
        <f t="shared" ca="1" si="4"/>
        <v>0.20455612460541581</v>
      </c>
      <c r="C131" s="16">
        <f ca="1">MAX(0,'1_Inputs'!$B$10*(1+'1_Inputs'!$C$10*$B131))</f>
        <v>290911.22492108319</v>
      </c>
      <c r="D131" s="16">
        <f ca="1">MAX(0,'1_Inputs'!$B$11*(1+'1_Inputs'!$C$11*$B131))</f>
        <v>312273.36747632496</v>
      </c>
      <c r="E131" s="16">
        <f ca="1">MAX(0,'1_Inputs'!$B$12*(1+'1_Inputs'!$C$12*$B131))</f>
        <v>362887.0358501412</v>
      </c>
      <c r="F131" s="16">
        <f ca="1">MAX(0,'1_Inputs'!$B$13*(1+'1_Inputs'!$C$13*$B131))</f>
        <v>414728.04097158997</v>
      </c>
      <c r="G131" s="16">
        <f ca="1">MAX(0,'1_Inputs'!$B$14*(1+'1_Inputs'!$C$14*$B131))</f>
        <v>473012.56401810929</v>
      </c>
      <c r="H131" s="16">
        <f ca="1">NPV('1_Inputs'!$B$5,C131:G131)-'1_Inputs'!$B$4</f>
        <v>298947.60566321691</v>
      </c>
      <c r="I131" s="14" t="str">
        <f t="shared" ref="I131:I162" ca="1" si="6">IF(H131&gt;0,"VAN&gt;0","VAN&lt;0")</f>
        <v>VAN&gt;0</v>
      </c>
    </row>
    <row r="132" spans="1:9" x14ac:dyDescent="0.3">
      <c r="A132" s="14">
        <v>130</v>
      </c>
      <c r="B132" s="15">
        <f t="shared" ref="B132:B195" ca="1" si="7">NORMINV(RAND(),0,1)</f>
        <v>9.7052646099646811E-3</v>
      </c>
      <c r="C132" s="16">
        <f ca="1">MAX(0,'1_Inputs'!$B$10*(1+'1_Inputs'!$C$10*$B132))</f>
        <v>251941.05292199293</v>
      </c>
      <c r="D132" s="16">
        <f ca="1">MAX(0,'1_Inputs'!$B$11*(1+'1_Inputs'!$C$11*$B132))</f>
        <v>300582.31587659789</v>
      </c>
      <c r="E132" s="16">
        <f ca="1">MAX(0,'1_Inputs'!$B$12*(1+'1_Inputs'!$C$12*$B132))</f>
        <v>350611.43167042773</v>
      </c>
      <c r="F132" s="16">
        <f ca="1">MAX(0,'1_Inputs'!$B$13*(1+'1_Inputs'!$C$13*$B132))</f>
        <v>400698.77905191743</v>
      </c>
      <c r="G132" s="16">
        <f ca="1">MAX(0,'1_Inputs'!$B$14*(1+'1_Inputs'!$C$14*$B132))</f>
        <v>451091.84226862103</v>
      </c>
      <c r="H132" s="16">
        <f ca="1">NPV('1_Inputs'!$B$5,C132:G132)-'1_Inputs'!$B$4</f>
        <v>224740.9860989037</v>
      </c>
      <c r="I132" s="14" t="str">
        <f t="shared" ca="1" si="6"/>
        <v>VAN&gt;0</v>
      </c>
    </row>
    <row r="133" spans="1:9" x14ac:dyDescent="0.3">
      <c r="A133" s="14">
        <v>131</v>
      </c>
      <c r="B133" s="15">
        <f t="shared" ca="1" si="7"/>
        <v>-0.38430108379558309</v>
      </c>
      <c r="C133" s="16">
        <f ca="1">MAX(0,'1_Inputs'!$B$10*(1+'1_Inputs'!$C$10*$B133))</f>
        <v>173139.78324088335</v>
      </c>
      <c r="D133" s="16">
        <f ca="1">MAX(0,'1_Inputs'!$B$11*(1+'1_Inputs'!$C$11*$B133))</f>
        <v>276941.93497226504</v>
      </c>
      <c r="E133" s="16">
        <f ca="1">MAX(0,'1_Inputs'!$B$12*(1+'1_Inputs'!$C$12*$B133))</f>
        <v>325789.03172087827</v>
      </c>
      <c r="F133" s="16">
        <f ca="1">MAX(0,'1_Inputs'!$B$13*(1+'1_Inputs'!$C$13*$B133))</f>
        <v>372330.32196671801</v>
      </c>
      <c r="G133" s="16">
        <f ca="1">MAX(0,'1_Inputs'!$B$14*(1+'1_Inputs'!$C$14*$B133))</f>
        <v>406766.12807299691</v>
      </c>
      <c r="H133" s="16">
        <f ca="1">NPV('1_Inputs'!$B$5,C133:G133)-'1_Inputs'!$B$4</f>
        <v>74688.380722990725</v>
      </c>
      <c r="I133" s="14" t="str">
        <f t="shared" ca="1" si="6"/>
        <v>VAN&gt;0</v>
      </c>
    </row>
    <row r="134" spans="1:9" x14ac:dyDescent="0.3">
      <c r="A134" s="14">
        <v>132</v>
      </c>
      <c r="B134" s="15">
        <f t="shared" ca="1" si="7"/>
        <v>1.515291118288395</v>
      </c>
      <c r="C134" s="16">
        <f ca="1">MAX(0,'1_Inputs'!$B$10*(1+'1_Inputs'!$C$10*$B134))</f>
        <v>553058.22365767905</v>
      </c>
      <c r="D134" s="16">
        <f ca="1">MAX(0,'1_Inputs'!$B$11*(1+'1_Inputs'!$C$11*$B134))</f>
        <v>390917.46709730371</v>
      </c>
      <c r="E134" s="16">
        <f ca="1">MAX(0,'1_Inputs'!$B$12*(1+'1_Inputs'!$C$12*$B134))</f>
        <v>445463.34045216889</v>
      </c>
      <c r="F134" s="16">
        <f ca="1">MAX(0,'1_Inputs'!$B$13*(1+'1_Inputs'!$C$13*$B134))</f>
        <v>509100.96051676443</v>
      </c>
      <c r="G134" s="16">
        <f ca="1">MAX(0,'1_Inputs'!$B$14*(1+'1_Inputs'!$C$14*$B134))</f>
        <v>620470.25080744445</v>
      </c>
      <c r="H134" s="16">
        <f ca="1">NPV('1_Inputs'!$B$5,C134:G134)-'1_Inputs'!$B$4</f>
        <v>798125.35128946602</v>
      </c>
      <c r="I134" s="14" t="str">
        <f t="shared" ca="1" si="6"/>
        <v>VAN&gt;0</v>
      </c>
    </row>
    <row r="135" spans="1:9" x14ac:dyDescent="0.3">
      <c r="A135" s="14">
        <v>133</v>
      </c>
      <c r="B135" s="15">
        <f t="shared" ca="1" si="7"/>
        <v>-1.2047804530127585E-2</v>
      </c>
      <c r="C135" s="16">
        <f ca="1">MAX(0,'1_Inputs'!$B$10*(1+'1_Inputs'!$C$10*$B135))</f>
        <v>247590.43909397448</v>
      </c>
      <c r="D135" s="16">
        <f ca="1">MAX(0,'1_Inputs'!$B$11*(1+'1_Inputs'!$C$11*$B135))</f>
        <v>299277.13172819233</v>
      </c>
      <c r="E135" s="16">
        <f ca="1">MAX(0,'1_Inputs'!$B$12*(1+'1_Inputs'!$C$12*$B135))</f>
        <v>349240.988314602</v>
      </c>
      <c r="F135" s="16">
        <f ca="1">MAX(0,'1_Inputs'!$B$13*(1+'1_Inputs'!$C$13*$B135))</f>
        <v>399132.55807383085</v>
      </c>
      <c r="G135" s="16">
        <f ca="1">MAX(0,'1_Inputs'!$B$14*(1+'1_Inputs'!$C$14*$B135))</f>
        <v>448644.62199036061</v>
      </c>
      <c r="H135" s="16">
        <f ca="1">NPV('1_Inputs'!$B$5,C135:G135)-'1_Inputs'!$B$4</f>
        <v>216456.58988903975</v>
      </c>
      <c r="I135" s="14" t="str">
        <f t="shared" ca="1" si="6"/>
        <v>VAN&gt;0</v>
      </c>
    </row>
    <row r="136" spans="1:9" x14ac:dyDescent="0.3">
      <c r="A136" s="14">
        <v>134</v>
      </c>
      <c r="B136" s="15">
        <f t="shared" ca="1" si="7"/>
        <v>0.17784376180596964</v>
      </c>
      <c r="C136" s="16">
        <f ca="1">MAX(0,'1_Inputs'!$B$10*(1+'1_Inputs'!$C$10*$B136))</f>
        <v>285568.75236119394</v>
      </c>
      <c r="D136" s="16">
        <f ca="1">MAX(0,'1_Inputs'!$B$11*(1+'1_Inputs'!$C$11*$B136))</f>
        <v>310670.62570835813</v>
      </c>
      <c r="E136" s="16">
        <f ca="1">MAX(0,'1_Inputs'!$B$12*(1+'1_Inputs'!$C$12*$B136))</f>
        <v>361204.15699377609</v>
      </c>
      <c r="F136" s="16">
        <f ca="1">MAX(0,'1_Inputs'!$B$13*(1+'1_Inputs'!$C$13*$B136))</f>
        <v>412804.75085002981</v>
      </c>
      <c r="G136" s="16">
        <f ca="1">MAX(0,'1_Inputs'!$B$14*(1+'1_Inputs'!$C$14*$B136))</f>
        <v>470007.42320317158</v>
      </c>
      <c r="H136" s="16">
        <f ca="1">NPV('1_Inputs'!$B$5,C136:G136)-'1_Inputs'!$B$4</f>
        <v>288774.5217775791</v>
      </c>
      <c r="I136" s="14" t="str">
        <f t="shared" ca="1" si="6"/>
        <v>VAN&gt;0</v>
      </c>
    </row>
    <row r="137" spans="1:9" x14ac:dyDescent="0.3">
      <c r="A137" s="14">
        <v>135</v>
      </c>
      <c r="B137" s="15">
        <f t="shared" ca="1" si="7"/>
        <v>-7.2737464052412437E-2</v>
      </c>
      <c r="C137" s="16">
        <f ca="1">MAX(0,'1_Inputs'!$B$10*(1+'1_Inputs'!$C$10*$B137))</f>
        <v>235452.50718951752</v>
      </c>
      <c r="D137" s="16">
        <f ca="1">MAX(0,'1_Inputs'!$B$11*(1+'1_Inputs'!$C$11*$B137))</f>
        <v>295635.75215685525</v>
      </c>
      <c r="E137" s="16">
        <f ca="1">MAX(0,'1_Inputs'!$B$12*(1+'1_Inputs'!$C$12*$B137))</f>
        <v>345417.53976469801</v>
      </c>
      <c r="F137" s="16">
        <f ca="1">MAX(0,'1_Inputs'!$B$13*(1+'1_Inputs'!$C$13*$B137))</f>
        <v>394762.90258822631</v>
      </c>
      <c r="G137" s="16">
        <f ca="1">MAX(0,'1_Inputs'!$B$14*(1+'1_Inputs'!$C$14*$B137))</f>
        <v>441817.03529410361</v>
      </c>
      <c r="H137" s="16">
        <f ca="1">NPV('1_Inputs'!$B$5,C137:G137)-'1_Inputs'!$B$4</f>
        <v>193343.65892346436</v>
      </c>
      <c r="I137" s="14" t="str">
        <f t="shared" ca="1" si="6"/>
        <v>VAN&gt;0</v>
      </c>
    </row>
    <row r="138" spans="1:9" x14ac:dyDescent="0.3">
      <c r="A138" s="14">
        <v>136</v>
      </c>
      <c r="B138" s="15">
        <f t="shared" ca="1" si="7"/>
        <v>0.2449894619979277</v>
      </c>
      <c r="C138" s="16">
        <f ca="1">MAX(0,'1_Inputs'!$B$10*(1+'1_Inputs'!$C$10*$B138))</f>
        <v>298997.89239958551</v>
      </c>
      <c r="D138" s="16">
        <f ca="1">MAX(0,'1_Inputs'!$B$11*(1+'1_Inputs'!$C$11*$B138))</f>
        <v>314699.36771987565</v>
      </c>
      <c r="E138" s="16">
        <f ca="1">MAX(0,'1_Inputs'!$B$12*(1+'1_Inputs'!$C$12*$B138))</f>
        <v>365434.33610586944</v>
      </c>
      <c r="F138" s="16">
        <f ca="1">MAX(0,'1_Inputs'!$B$13*(1+'1_Inputs'!$C$13*$B138))</f>
        <v>417639.24126385082</v>
      </c>
      <c r="G138" s="16">
        <f ca="1">MAX(0,'1_Inputs'!$B$14*(1+'1_Inputs'!$C$14*$B138))</f>
        <v>477561.31447476684</v>
      </c>
      <c r="H138" s="16">
        <f ca="1">NPV('1_Inputs'!$B$5,C138:G138)-'1_Inputs'!$B$4</f>
        <v>314346.15861634049</v>
      </c>
      <c r="I138" s="14" t="str">
        <f t="shared" ca="1" si="6"/>
        <v>VAN&gt;0</v>
      </c>
    </row>
    <row r="139" spans="1:9" x14ac:dyDescent="0.3">
      <c r="A139" s="14">
        <v>137</v>
      </c>
      <c r="B139" s="15">
        <f t="shared" ca="1" si="7"/>
        <v>-0.35844809137993888</v>
      </c>
      <c r="C139" s="16">
        <f ca="1">MAX(0,'1_Inputs'!$B$10*(1+'1_Inputs'!$C$10*$B139))</f>
        <v>178310.3817240122</v>
      </c>
      <c r="D139" s="16">
        <f ca="1">MAX(0,'1_Inputs'!$B$11*(1+'1_Inputs'!$C$11*$B139))</f>
        <v>278493.11451720365</v>
      </c>
      <c r="E139" s="16">
        <f ca="1">MAX(0,'1_Inputs'!$B$12*(1+'1_Inputs'!$C$12*$B139))</f>
        <v>327417.77024306386</v>
      </c>
      <c r="F139" s="16">
        <f ca="1">MAX(0,'1_Inputs'!$B$13*(1+'1_Inputs'!$C$13*$B139))</f>
        <v>374191.73742064438</v>
      </c>
      <c r="G139" s="16">
        <f ca="1">MAX(0,'1_Inputs'!$B$14*(1+'1_Inputs'!$C$14*$B139))</f>
        <v>409674.58971975686</v>
      </c>
      <c r="H139" s="16">
        <f ca="1">NPV('1_Inputs'!$B$5,C139:G139)-'1_Inputs'!$B$4</f>
        <v>84534.18367624213</v>
      </c>
      <c r="I139" s="14" t="str">
        <f t="shared" ca="1" si="6"/>
        <v>VAN&gt;0</v>
      </c>
    </row>
    <row r="140" spans="1:9" x14ac:dyDescent="0.3">
      <c r="A140" s="14">
        <v>138</v>
      </c>
      <c r="B140" s="15">
        <f t="shared" ca="1" si="7"/>
        <v>1.3676993180943187</v>
      </c>
      <c r="C140" s="16">
        <f ca="1">MAX(0,'1_Inputs'!$B$10*(1+'1_Inputs'!$C$10*$B140))</f>
        <v>523539.86361886375</v>
      </c>
      <c r="D140" s="16">
        <f ca="1">MAX(0,'1_Inputs'!$B$11*(1+'1_Inputs'!$C$11*$B140))</f>
        <v>382061.95908565912</v>
      </c>
      <c r="E140" s="16">
        <f ca="1">MAX(0,'1_Inputs'!$B$12*(1+'1_Inputs'!$C$12*$B140))</f>
        <v>436165.05703994207</v>
      </c>
      <c r="F140" s="16">
        <f ca="1">MAX(0,'1_Inputs'!$B$13*(1+'1_Inputs'!$C$13*$B140))</f>
        <v>498474.35090279096</v>
      </c>
      <c r="G140" s="16">
        <f ca="1">MAX(0,'1_Inputs'!$B$14*(1+'1_Inputs'!$C$14*$B140))</f>
        <v>603866.17328561086</v>
      </c>
      <c r="H140" s="16">
        <f ca="1">NPV('1_Inputs'!$B$5,C140:G140)-'1_Inputs'!$B$4</f>
        <v>741916.77942034719</v>
      </c>
      <c r="I140" s="14" t="str">
        <f t="shared" ca="1" si="6"/>
        <v>VAN&gt;0</v>
      </c>
    </row>
    <row r="141" spans="1:9" x14ac:dyDescent="0.3">
      <c r="A141" s="14">
        <v>139</v>
      </c>
      <c r="B141" s="15">
        <f t="shared" ca="1" si="7"/>
        <v>-0.83258566298557479</v>
      </c>
      <c r="C141" s="16">
        <f ca="1">MAX(0,'1_Inputs'!$B$10*(1+'1_Inputs'!$C$10*$B141))</f>
        <v>83482.867402885022</v>
      </c>
      <c r="D141" s="16">
        <f ca="1">MAX(0,'1_Inputs'!$B$11*(1+'1_Inputs'!$C$11*$B141))</f>
        <v>250044.86022086549</v>
      </c>
      <c r="E141" s="16">
        <f ca="1">MAX(0,'1_Inputs'!$B$12*(1+'1_Inputs'!$C$12*$B141))</f>
        <v>297547.10323190875</v>
      </c>
      <c r="F141" s="16">
        <f ca="1">MAX(0,'1_Inputs'!$B$13*(1+'1_Inputs'!$C$13*$B141))</f>
        <v>340053.83226503863</v>
      </c>
      <c r="G141" s="16">
        <f ca="1">MAX(0,'1_Inputs'!$B$14*(1+'1_Inputs'!$C$14*$B141))</f>
        <v>356334.11291412282</v>
      </c>
      <c r="H141" s="16">
        <f ca="1">NPV('1_Inputs'!$B$5,C141:G141)-'1_Inputs'!$B$4</f>
        <v>-96035.439665980171</v>
      </c>
      <c r="I141" s="14" t="str">
        <f t="shared" ca="1" si="6"/>
        <v>VAN&lt;0</v>
      </c>
    </row>
    <row r="142" spans="1:9" x14ac:dyDescent="0.3">
      <c r="A142" s="14">
        <v>140</v>
      </c>
      <c r="B142" s="15">
        <f t="shared" ca="1" si="7"/>
        <v>-1.9352774335016023</v>
      </c>
      <c r="C142" s="16">
        <f ca="1">MAX(0,'1_Inputs'!$B$10*(1+'1_Inputs'!$C$10*$B142))</f>
        <v>0</v>
      </c>
      <c r="D142" s="16">
        <f ca="1">MAX(0,'1_Inputs'!$B$11*(1+'1_Inputs'!$C$11*$B142))</f>
        <v>183883.35398990387</v>
      </c>
      <c r="E142" s="16">
        <f ca="1">MAX(0,'1_Inputs'!$B$12*(1+'1_Inputs'!$C$12*$B142))</f>
        <v>228077.52168939909</v>
      </c>
      <c r="F142" s="16">
        <f ca="1">MAX(0,'1_Inputs'!$B$13*(1+'1_Inputs'!$C$13*$B142))</f>
        <v>260660.02478788467</v>
      </c>
      <c r="G142" s="16">
        <f ca="1">MAX(0,'1_Inputs'!$B$14*(1+'1_Inputs'!$C$14*$B142))</f>
        <v>232281.28873106974</v>
      </c>
      <c r="H142" s="16">
        <f ca="1">NPV('1_Inputs'!$B$5,C142:G142)-'1_Inputs'!$B$4</f>
        <v>-393611.4417298655</v>
      </c>
      <c r="I142" s="14" t="str">
        <f t="shared" ca="1" si="6"/>
        <v>VAN&lt;0</v>
      </c>
    </row>
    <row r="143" spans="1:9" x14ac:dyDescent="0.3">
      <c r="A143" s="14">
        <v>141</v>
      </c>
      <c r="B143" s="15">
        <f t="shared" ca="1" si="7"/>
        <v>0.43764813178428275</v>
      </c>
      <c r="C143" s="16">
        <f ca="1">MAX(0,'1_Inputs'!$B$10*(1+'1_Inputs'!$C$10*$B143))</f>
        <v>337529.62635685655</v>
      </c>
      <c r="D143" s="16">
        <f ca="1">MAX(0,'1_Inputs'!$B$11*(1+'1_Inputs'!$C$11*$B143))</f>
        <v>326258.88790705695</v>
      </c>
      <c r="E143" s="16">
        <f ca="1">MAX(0,'1_Inputs'!$B$12*(1+'1_Inputs'!$C$12*$B143))</f>
        <v>377571.83230240981</v>
      </c>
      <c r="F143" s="16">
        <f ca="1">MAX(0,'1_Inputs'!$B$13*(1+'1_Inputs'!$C$13*$B143))</f>
        <v>431510.66548846837</v>
      </c>
      <c r="G143" s="16">
        <f ca="1">MAX(0,'1_Inputs'!$B$14*(1+'1_Inputs'!$C$14*$B143))</f>
        <v>499235.41482573177</v>
      </c>
      <c r="H143" s="16">
        <f ca="1">NPV('1_Inputs'!$B$5,C143:G143)-'1_Inputs'!$B$4</f>
        <v>387717.90875866194</v>
      </c>
      <c r="I143" s="14" t="str">
        <f t="shared" ca="1" si="6"/>
        <v>VAN&gt;0</v>
      </c>
    </row>
    <row r="144" spans="1:9" x14ac:dyDescent="0.3">
      <c r="A144" s="14">
        <v>142</v>
      </c>
      <c r="B144" s="15">
        <f t="shared" ca="1" si="7"/>
        <v>0.86743638679899882</v>
      </c>
      <c r="C144" s="16">
        <f ca="1">MAX(0,'1_Inputs'!$B$10*(1+'1_Inputs'!$C$10*$B144))</f>
        <v>423487.27735979971</v>
      </c>
      <c r="D144" s="16">
        <f ca="1">MAX(0,'1_Inputs'!$B$11*(1+'1_Inputs'!$C$11*$B144))</f>
        <v>352046.1832079399</v>
      </c>
      <c r="E144" s="16">
        <f ca="1">MAX(0,'1_Inputs'!$B$12*(1+'1_Inputs'!$C$12*$B144))</f>
        <v>404648.49236833688</v>
      </c>
      <c r="F144" s="16">
        <f ca="1">MAX(0,'1_Inputs'!$B$13*(1+'1_Inputs'!$C$13*$B144))</f>
        <v>462455.41984952788</v>
      </c>
      <c r="G144" s="16">
        <f ca="1">MAX(0,'1_Inputs'!$B$14*(1+'1_Inputs'!$C$14*$B144))</f>
        <v>547586.59351488738</v>
      </c>
      <c r="H144" s="16">
        <f ca="1">NPV('1_Inputs'!$B$5,C144:G144)-'1_Inputs'!$B$4</f>
        <v>551397.62530613621</v>
      </c>
      <c r="I144" s="14" t="str">
        <f t="shared" ca="1" si="6"/>
        <v>VAN&gt;0</v>
      </c>
    </row>
    <row r="145" spans="1:9" x14ac:dyDescent="0.3">
      <c r="A145" s="14">
        <v>143</v>
      </c>
      <c r="B145" s="15">
        <f t="shared" ca="1" si="7"/>
        <v>2.0646970955496897</v>
      </c>
      <c r="C145" s="16">
        <f ca="1">MAX(0,'1_Inputs'!$B$10*(1+'1_Inputs'!$C$10*$B145))</f>
        <v>662939.41910993808</v>
      </c>
      <c r="D145" s="16">
        <f ca="1">MAX(0,'1_Inputs'!$B$11*(1+'1_Inputs'!$C$11*$B145))</f>
        <v>423881.82573298144</v>
      </c>
      <c r="E145" s="16">
        <f ca="1">MAX(0,'1_Inputs'!$B$12*(1+'1_Inputs'!$C$12*$B145))</f>
        <v>480075.91701963043</v>
      </c>
      <c r="F145" s="16">
        <f ca="1">MAX(0,'1_Inputs'!$B$13*(1+'1_Inputs'!$C$13*$B145))</f>
        <v>548658.19087957765</v>
      </c>
      <c r="G145" s="16">
        <f ca="1">MAX(0,'1_Inputs'!$B$14*(1+'1_Inputs'!$C$14*$B145))</f>
        <v>682278.42324934015</v>
      </c>
      <c r="H145" s="16">
        <f ca="1">NPV('1_Inputs'!$B$5,C145:G145)-'1_Inputs'!$B$4</f>
        <v>1007360.0466967144</v>
      </c>
      <c r="I145" s="14" t="str">
        <f t="shared" ca="1" si="6"/>
        <v>VAN&gt;0</v>
      </c>
    </row>
    <row r="146" spans="1:9" x14ac:dyDescent="0.3">
      <c r="A146" s="14">
        <v>144</v>
      </c>
      <c r="B146" s="15">
        <f t="shared" ca="1" si="7"/>
        <v>-0.27073707237486155</v>
      </c>
      <c r="C146" s="16">
        <f ca="1">MAX(0,'1_Inputs'!$B$10*(1+'1_Inputs'!$C$10*$B146))</f>
        <v>195852.58552502768</v>
      </c>
      <c r="D146" s="16">
        <f ca="1">MAX(0,'1_Inputs'!$B$11*(1+'1_Inputs'!$C$11*$B146))</f>
        <v>283755.77565750829</v>
      </c>
      <c r="E146" s="16">
        <f ca="1">MAX(0,'1_Inputs'!$B$12*(1+'1_Inputs'!$C$12*$B146))</f>
        <v>332943.56444038369</v>
      </c>
      <c r="F146" s="16">
        <f ca="1">MAX(0,'1_Inputs'!$B$13*(1+'1_Inputs'!$C$13*$B146))</f>
        <v>380506.93078900996</v>
      </c>
      <c r="G146" s="16">
        <f ca="1">MAX(0,'1_Inputs'!$B$14*(1+'1_Inputs'!$C$14*$B146))</f>
        <v>419542.07935782807</v>
      </c>
      <c r="H146" s="16">
        <f ca="1">NPV('1_Inputs'!$B$5,C146:G146)-'1_Inputs'!$B$4</f>
        <v>117937.87621863047</v>
      </c>
      <c r="I146" s="14" t="str">
        <f t="shared" ca="1" si="6"/>
        <v>VAN&gt;0</v>
      </c>
    </row>
    <row r="147" spans="1:9" x14ac:dyDescent="0.3">
      <c r="A147" s="14">
        <v>145</v>
      </c>
      <c r="B147" s="15">
        <f t="shared" ca="1" si="7"/>
        <v>0.96206656220709152</v>
      </c>
      <c r="C147" s="16">
        <f ca="1">MAX(0,'1_Inputs'!$B$10*(1+'1_Inputs'!$C$10*$B147))</f>
        <v>442413.31244141835</v>
      </c>
      <c r="D147" s="16">
        <f ca="1">MAX(0,'1_Inputs'!$B$11*(1+'1_Inputs'!$C$11*$B147))</f>
        <v>357723.99373242544</v>
      </c>
      <c r="E147" s="16">
        <f ca="1">MAX(0,'1_Inputs'!$B$12*(1+'1_Inputs'!$C$12*$B147))</f>
        <v>410610.19341904676</v>
      </c>
      <c r="F147" s="16">
        <f ca="1">MAX(0,'1_Inputs'!$B$13*(1+'1_Inputs'!$C$13*$B147))</f>
        <v>469268.79247891059</v>
      </c>
      <c r="G147" s="16">
        <f ca="1">MAX(0,'1_Inputs'!$B$14*(1+'1_Inputs'!$C$14*$B147))</f>
        <v>558232.48824829783</v>
      </c>
      <c r="H147" s="16">
        <f ca="1">NPV('1_Inputs'!$B$5,C147:G147)-'1_Inputs'!$B$4</f>
        <v>587436.39580977405</v>
      </c>
      <c r="I147" s="14" t="str">
        <f t="shared" ca="1" si="6"/>
        <v>VAN&gt;0</v>
      </c>
    </row>
    <row r="148" spans="1:9" x14ac:dyDescent="0.3">
      <c r="A148" s="14">
        <v>146</v>
      </c>
      <c r="B148" s="15">
        <f t="shared" ca="1" si="7"/>
        <v>-0.85043030899078631</v>
      </c>
      <c r="C148" s="16">
        <f ca="1">MAX(0,'1_Inputs'!$B$10*(1+'1_Inputs'!$C$10*$B148))</f>
        <v>79913.938201842728</v>
      </c>
      <c r="D148" s="16">
        <f ca="1">MAX(0,'1_Inputs'!$B$11*(1+'1_Inputs'!$C$11*$B148))</f>
        <v>248974.18146055285</v>
      </c>
      <c r="E148" s="16">
        <f ca="1">MAX(0,'1_Inputs'!$B$12*(1+'1_Inputs'!$C$12*$B148))</f>
        <v>296422.89053358044</v>
      </c>
      <c r="F148" s="16">
        <f ca="1">MAX(0,'1_Inputs'!$B$13*(1+'1_Inputs'!$C$13*$B148))</f>
        <v>338769.01775266341</v>
      </c>
      <c r="G148" s="16">
        <f ca="1">MAX(0,'1_Inputs'!$B$14*(1+'1_Inputs'!$C$14*$B148))</f>
        <v>354326.59023853659</v>
      </c>
      <c r="H148" s="16">
        <f ca="1">NPV('1_Inputs'!$B$5,C148:G148)-'1_Inputs'!$B$4</f>
        <v>-102831.35967064137</v>
      </c>
      <c r="I148" s="14" t="str">
        <f t="shared" ca="1" si="6"/>
        <v>VAN&lt;0</v>
      </c>
    </row>
    <row r="149" spans="1:9" x14ac:dyDescent="0.3">
      <c r="A149" s="14">
        <v>147</v>
      </c>
      <c r="B149" s="15">
        <f t="shared" ca="1" si="7"/>
        <v>-1.0452371494072616</v>
      </c>
      <c r="C149" s="16">
        <f ca="1">MAX(0,'1_Inputs'!$B$10*(1+'1_Inputs'!$C$10*$B149))</f>
        <v>40952.570118547665</v>
      </c>
      <c r="D149" s="16">
        <f ca="1">MAX(0,'1_Inputs'!$B$11*(1+'1_Inputs'!$C$11*$B149))</f>
        <v>237285.77103556431</v>
      </c>
      <c r="E149" s="16">
        <f ca="1">MAX(0,'1_Inputs'!$B$12*(1+'1_Inputs'!$C$12*$B149))</f>
        <v>284150.05958734249</v>
      </c>
      <c r="F149" s="16">
        <f ca="1">MAX(0,'1_Inputs'!$B$13*(1+'1_Inputs'!$C$13*$B149))</f>
        <v>324742.92524267716</v>
      </c>
      <c r="G149" s="16">
        <f ca="1">MAX(0,'1_Inputs'!$B$14*(1+'1_Inputs'!$C$14*$B149))</f>
        <v>332410.82069168304</v>
      </c>
      <c r="H149" s="16">
        <f ca="1">NPV('1_Inputs'!$B$5,C149:G149)-'1_Inputs'!$B$4</f>
        <v>-177021.2149047869</v>
      </c>
      <c r="I149" s="14" t="str">
        <f t="shared" ca="1" si="6"/>
        <v>VAN&lt;0</v>
      </c>
    </row>
    <row r="150" spans="1:9" x14ac:dyDescent="0.3">
      <c r="A150" s="14">
        <v>148</v>
      </c>
      <c r="B150" s="15">
        <f t="shared" ca="1" si="7"/>
        <v>0.60788645987694856</v>
      </c>
      <c r="C150" s="16">
        <f ca="1">MAX(0,'1_Inputs'!$B$10*(1+'1_Inputs'!$C$10*$B150))</f>
        <v>371577.2919753897</v>
      </c>
      <c r="D150" s="16">
        <f ca="1">MAX(0,'1_Inputs'!$B$11*(1+'1_Inputs'!$C$11*$B150))</f>
        <v>336473.18759261689</v>
      </c>
      <c r="E150" s="16">
        <f ca="1">MAX(0,'1_Inputs'!$B$12*(1+'1_Inputs'!$C$12*$B150))</f>
        <v>388296.84697224776</v>
      </c>
      <c r="F150" s="16">
        <f ca="1">MAX(0,'1_Inputs'!$B$13*(1+'1_Inputs'!$C$13*$B150))</f>
        <v>443767.82511114026</v>
      </c>
      <c r="G150" s="16">
        <f ca="1">MAX(0,'1_Inputs'!$B$14*(1+'1_Inputs'!$C$14*$B150))</f>
        <v>518387.22673615674</v>
      </c>
      <c r="H150" s="16">
        <f ca="1">NPV('1_Inputs'!$B$5,C150:G150)-'1_Inputs'!$B$4</f>
        <v>452551.13991982839</v>
      </c>
      <c r="I150" s="14" t="str">
        <f t="shared" ca="1" si="6"/>
        <v>VAN&gt;0</v>
      </c>
    </row>
    <row r="151" spans="1:9" x14ac:dyDescent="0.3">
      <c r="A151" s="14">
        <v>149</v>
      </c>
      <c r="B151" s="15">
        <f t="shared" ca="1" si="7"/>
        <v>-6.5356685937197873E-2</v>
      </c>
      <c r="C151" s="16">
        <f ca="1">MAX(0,'1_Inputs'!$B$10*(1+'1_Inputs'!$C$10*$B151))</f>
        <v>236928.66281256042</v>
      </c>
      <c r="D151" s="16">
        <f ca="1">MAX(0,'1_Inputs'!$B$11*(1+'1_Inputs'!$C$11*$B151))</f>
        <v>296078.59884376812</v>
      </c>
      <c r="E151" s="16">
        <f ca="1">MAX(0,'1_Inputs'!$B$12*(1+'1_Inputs'!$C$12*$B151))</f>
        <v>345882.5287859565</v>
      </c>
      <c r="F151" s="16">
        <f ca="1">MAX(0,'1_Inputs'!$B$13*(1+'1_Inputs'!$C$13*$B151))</f>
        <v>395294.31861252175</v>
      </c>
      <c r="G151" s="16">
        <f ca="1">MAX(0,'1_Inputs'!$B$14*(1+'1_Inputs'!$C$14*$B151))</f>
        <v>442647.37283206527</v>
      </c>
      <c r="H151" s="16">
        <f ca="1">NPV('1_Inputs'!$B$5,C151:G151)-'1_Inputs'!$B$4</f>
        <v>196154.53999269428</v>
      </c>
      <c r="I151" s="14" t="str">
        <f t="shared" ca="1" si="6"/>
        <v>VAN&gt;0</v>
      </c>
    </row>
    <row r="152" spans="1:9" x14ac:dyDescent="0.3">
      <c r="A152" s="14">
        <v>150</v>
      </c>
      <c r="B152" s="15">
        <f t="shared" ca="1" si="7"/>
        <v>0.80853986679973322</v>
      </c>
      <c r="C152" s="16">
        <f ca="1">MAX(0,'1_Inputs'!$B$10*(1+'1_Inputs'!$C$10*$B152))</f>
        <v>411707.97335994669</v>
      </c>
      <c r="D152" s="16">
        <f ca="1">MAX(0,'1_Inputs'!$B$11*(1+'1_Inputs'!$C$11*$B152))</f>
        <v>348512.39200798399</v>
      </c>
      <c r="E152" s="16">
        <f ca="1">MAX(0,'1_Inputs'!$B$12*(1+'1_Inputs'!$C$12*$B152))</f>
        <v>400938.01160838315</v>
      </c>
      <c r="F152" s="16">
        <f ca="1">MAX(0,'1_Inputs'!$B$13*(1+'1_Inputs'!$C$13*$B152))</f>
        <v>458214.87040958076</v>
      </c>
      <c r="G152" s="16">
        <f ca="1">MAX(0,'1_Inputs'!$B$14*(1+'1_Inputs'!$C$14*$B152))</f>
        <v>540960.73501496995</v>
      </c>
      <c r="H152" s="16">
        <f ca="1">NPV('1_Inputs'!$B$5,C152:G152)-'1_Inputs'!$B$4</f>
        <v>528967.59008150594</v>
      </c>
      <c r="I152" s="14" t="str">
        <f t="shared" ca="1" si="6"/>
        <v>VAN&gt;0</v>
      </c>
    </row>
    <row r="153" spans="1:9" x14ac:dyDescent="0.3">
      <c r="A153" s="14">
        <v>151</v>
      </c>
      <c r="B153" s="15">
        <f t="shared" ca="1" si="7"/>
        <v>0.33167884239401463</v>
      </c>
      <c r="C153" s="16">
        <f ca="1">MAX(0,'1_Inputs'!$B$10*(1+'1_Inputs'!$C$10*$B153))</f>
        <v>316335.76847880299</v>
      </c>
      <c r="D153" s="16">
        <f ca="1">MAX(0,'1_Inputs'!$B$11*(1+'1_Inputs'!$C$11*$B153))</f>
        <v>319900.73054364085</v>
      </c>
      <c r="E153" s="16">
        <f ca="1">MAX(0,'1_Inputs'!$B$12*(1+'1_Inputs'!$C$12*$B153))</f>
        <v>370895.76707082294</v>
      </c>
      <c r="F153" s="16">
        <f ca="1">MAX(0,'1_Inputs'!$B$13*(1+'1_Inputs'!$C$13*$B153))</f>
        <v>423880.87665236904</v>
      </c>
      <c r="G153" s="16">
        <f ca="1">MAX(0,'1_Inputs'!$B$14*(1+'1_Inputs'!$C$14*$B153))</f>
        <v>487313.86976932659</v>
      </c>
      <c r="H153" s="16">
        <f ca="1">NPV('1_Inputs'!$B$5,C153:G153)-'1_Inputs'!$B$4</f>
        <v>347360.77231354802</v>
      </c>
      <c r="I153" s="14" t="str">
        <f t="shared" ca="1" si="6"/>
        <v>VAN&gt;0</v>
      </c>
    </row>
    <row r="154" spans="1:9" x14ac:dyDescent="0.3">
      <c r="A154" s="14">
        <v>152</v>
      </c>
      <c r="B154" s="15">
        <f t="shared" ca="1" si="7"/>
        <v>-0.880412956621756</v>
      </c>
      <c r="C154" s="16">
        <f ca="1">MAX(0,'1_Inputs'!$B$10*(1+'1_Inputs'!$C$10*$B154))</f>
        <v>73917.408675648781</v>
      </c>
      <c r="D154" s="16">
        <f ca="1">MAX(0,'1_Inputs'!$B$11*(1+'1_Inputs'!$C$11*$B154))</f>
        <v>247175.22260269464</v>
      </c>
      <c r="E154" s="16">
        <f ca="1">MAX(0,'1_Inputs'!$B$12*(1+'1_Inputs'!$C$12*$B154))</f>
        <v>294533.98373282939</v>
      </c>
      <c r="F154" s="16">
        <f ca="1">MAX(0,'1_Inputs'!$B$13*(1+'1_Inputs'!$C$13*$B154))</f>
        <v>336610.26712323359</v>
      </c>
      <c r="G154" s="16">
        <f ca="1">MAX(0,'1_Inputs'!$B$14*(1+'1_Inputs'!$C$14*$B154))</f>
        <v>350953.5423800525</v>
      </c>
      <c r="H154" s="16">
        <f ca="1">NPV('1_Inputs'!$B$5,C154:G154)-'1_Inputs'!$B$4</f>
        <v>-114249.89242094173</v>
      </c>
      <c r="I154" s="14" t="str">
        <f t="shared" ca="1" si="6"/>
        <v>VAN&lt;0</v>
      </c>
    </row>
    <row r="155" spans="1:9" x14ac:dyDescent="0.3">
      <c r="A155" s="14">
        <v>153</v>
      </c>
      <c r="B155" s="15">
        <f t="shared" ca="1" si="7"/>
        <v>-0.16076295945094121</v>
      </c>
      <c r="C155" s="16">
        <f ca="1">MAX(0,'1_Inputs'!$B$10*(1+'1_Inputs'!$C$10*$B155))</f>
        <v>217847.40810981177</v>
      </c>
      <c r="D155" s="16">
        <f ca="1">MAX(0,'1_Inputs'!$B$11*(1+'1_Inputs'!$C$11*$B155))</f>
        <v>290354.22243294353</v>
      </c>
      <c r="E155" s="16">
        <f ca="1">MAX(0,'1_Inputs'!$B$12*(1+'1_Inputs'!$C$12*$B155))</f>
        <v>339871.93355459074</v>
      </c>
      <c r="F155" s="16">
        <f ca="1">MAX(0,'1_Inputs'!$B$13*(1+'1_Inputs'!$C$13*$B155))</f>
        <v>388425.06691953226</v>
      </c>
      <c r="G155" s="16">
        <f ca="1">MAX(0,'1_Inputs'!$B$14*(1+'1_Inputs'!$C$14*$B155))</f>
        <v>431914.16706176911</v>
      </c>
      <c r="H155" s="16">
        <f ca="1">NPV('1_Inputs'!$B$5,C155:G155)-'1_Inputs'!$B$4</f>
        <v>159820.20180784632</v>
      </c>
      <c r="I155" s="14" t="str">
        <f t="shared" ca="1" si="6"/>
        <v>VAN&gt;0</v>
      </c>
    </row>
    <row r="156" spans="1:9" x14ac:dyDescent="0.3">
      <c r="A156" s="14">
        <v>154</v>
      </c>
      <c r="B156" s="15">
        <f t="shared" ca="1" si="7"/>
        <v>1.3861145088240756</v>
      </c>
      <c r="C156" s="16">
        <f ca="1">MAX(0,'1_Inputs'!$B$10*(1+'1_Inputs'!$C$10*$B156))</f>
        <v>527222.90176481509</v>
      </c>
      <c r="D156" s="16">
        <f ca="1">MAX(0,'1_Inputs'!$B$11*(1+'1_Inputs'!$C$11*$B156))</f>
        <v>383166.87052944454</v>
      </c>
      <c r="E156" s="16">
        <f ca="1">MAX(0,'1_Inputs'!$B$12*(1+'1_Inputs'!$C$12*$B156))</f>
        <v>437325.21405591676</v>
      </c>
      <c r="F156" s="16">
        <f ca="1">MAX(0,'1_Inputs'!$B$13*(1+'1_Inputs'!$C$13*$B156))</f>
        <v>499800.24463533342</v>
      </c>
      <c r="G156" s="16">
        <f ca="1">MAX(0,'1_Inputs'!$B$14*(1+'1_Inputs'!$C$14*$B156))</f>
        <v>605937.88224270847</v>
      </c>
      <c r="H156" s="16">
        <f ca="1">NPV('1_Inputs'!$B$5,C156:G156)-'1_Inputs'!$B$4</f>
        <v>748929.98455949454</v>
      </c>
      <c r="I156" s="14" t="str">
        <f t="shared" ca="1" si="6"/>
        <v>VAN&gt;0</v>
      </c>
    </row>
    <row r="157" spans="1:9" x14ac:dyDescent="0.3">
      <c r="A157" s="14">
        <v>155</v>
      </c>
      <c r="B157" s="15">
        <f t="shared" ca="1" si="7"/>
        <v>0.17050342428133394</v>
      </c>
      <c r="C157" s="16">
        <f ca="1">MAX(0,'1_Inputs'!$B$10*(1+'1_Inputs'!$C$10*$B157))</f>
        <v>284100.68485626677</v>
      </c>
      <c r="D157" s="16">
        <f ca="1">MAX(0,'1_Inputs'!$B$11*(1+'1_Inputs'!$C$11*$B157))</f>
        <v>310230.20545688004</v>
      </c>
      <c r="E157" s="16">
        <f ca="1">MAX(0,'1_Inputs'!$B$12*(1+'1_Inputs'!$C$12*$B157))</f>
        <v>360741.71572972409</v>
      </c>
      <c r="F157" s="16">
        <f ca="1">MAX(0,'1_Inputs'!$B$13*(1+'1_Inputs'!$C$13*$B157))</f>
        <v>412276.24654825608</v>
      </c>
      <c r="G157" s="16">
        <f ca="1">MAX(0,'1_Inputs'!$B$14*(1+'1_Inputs'!$C$14*$B157))</f>
        <v>469181.63523165003</v>
      </c>
      <c r="H157" s="16">
        <f ca="1">NPV('1_Inputs'!$B$5,C157:G157)-'1_Inputs'!$B$4</f>
        <v>285979.0420235917</v>
      </c>
      <c r="I157" s="14" t="str">
        <f t="shared" ca="1" si="6"/>
        <v>VAN&gt;0</v>
      </c>
    </row>
    <row r="158" spans="1:9" x14ac:dyDescent="0.3">
      <c r="A158" s="14">
        <v>156</v>
      </c>
      <c r="B158" s="15">
        <f t="shared" ca="1" si="7"/>
        <v>-1.4134640352467636</v>
      </c>
      <c r="C158" s="16">
        <f ca="1">MAX(0,'1_Inputs'!$B$10*(1+'1_Inputs'!$C$10*$B158))</f>
        <v>0</v>
      </c>
      <c r="D158" s="16">
        <f ca="1">MAX(0,'1_Inputs'!$B$11*(1+'1_Inputs'!$C$11*$B158))</f>
        <v>215192.15788519417</v>
      </c>
      <c r="E158" s="16">
        <f ca="1">MAX(0,'1_Inputs'!$B$12*(1+'1_Inputs'!$C$12*$B158))</f>
        <v>260951.76577945388</v>
      </c>
      <c r="F158" s="16">
        <f ca="1">MAX(0,'1_Inputs'!$B$13*(1+'1_Inputs'!$C$13*$B158))</f>
        <v>298230.58946223301</v>
      </c>
      <c r="G158" s="16">
        <f ca="1">MAX(0,'1_Inputs'!$B$14*(1+'1_Inputs'!$C$14*$B158))</f>
        <v>290985.29603473912</v>
      </c>
      <c r="H158" s="16">
        <f ca="1">NPV('1_Inputs'!$B$5,C158:G158)-'1_Inputs'!$B$4</f>
        <v>-288066.0139971677</v>
      </c>
      <c r="I158" s="14" t="str">
        <f t="shared" ca="1" si="6"/>
        <v>VAN&lt;0</v>
      </c>
    </row>
    <row r="159" spans="1:9" x14ac:dyDescent="0.3">
      <c r="A159" s="14">
        <v>157</v>
      </c>
      <c r="B159" s="15">
        <f t="shared" ca="1" si="7"/>
        <v>-1.2203526922704389</v>
      </c>
      <c r="C159" s="16">
        <f ca="1">MAX(0,'1_Inputs'!$B$10*(1+'1_Inputs'!$C$10*$B159))</f>
        <v>5929.4615459122288</v>
      </c>
      <c r="D159" s="16">
        <f ca="1">MAX(0,'1_Inputs'!$B$11*(1+'1_Inputs'!$C$11*$B159))</f>
        <v>226778.83846377366</v>
      </c>
      <c r="E159" s="16">
        <f ca="1">MAX(0,'1_Inputs'!$B$12*(1+'1_Inputs'!$C$12*$B159))</f>
        <v>273117.78038696235</v>
      </c>
      <c r="F159" s="16">
        <f ca="1">MAX(0,'1_Inputs'!$B$13*(1+'1_Inputs'!$C$13*$B159))</f>
        <v>312134.6061565284</v>
      </c>
      <c r="G159" s="16">
        <f ca="1">MAX(0,'1_Inputs'!$B$14*(1+'1_Inputs'!$C$14*$B159))</f>
        <v>312710.32211957563</v>
      </c>
      <c r="H159" s="16">
        <f ca="1">NPV('1_Inputs'!$B$5,C159:G159)-'1_Inputs'!$B$4</f>
        <v>-243711.87497859565</v>
      </c>
      <c r="I159" s="14" t="str">
        <f t="shared" ca="1" si="6"/>
        <v>VAN&lt;0</v>
      </c>
    </row>
    <row r="160" spans="1:9" x14ac:dyDescent="0.3">
      <c r="A160" s="14">
        <v>158</v>
      </c>
      <c r="B160" s="15">
        <f t="shared" ca="1" si="7"/>
        <v>1.4504985675505784</v>
      </c>
      <c r="C160" s="16">
        <f ca="1">MAX(0,'1_Inputs'!$B$10*(1+'1_Inputs'!$C$10*$B160))</f>
        <v>540099.71351011575</v>
      </c>
      <c r="D160" s="16">
        <f ca="1">MAX(0,'1_Inputs'!$B$11*(1+'1_Inputs'!$C$11*$B160))</f>
        <v>387029.91405303474</v>
      </c>
      <c r="E160" s="16">
        <f ca="1">MAX(0,'1_Inputs'!$B$12*(1+'1_Inputs'!$C$12*$B160))</f>
        <v>441381.40975568641</v>
      </c>
      <c r="F160" s="16">
        <f ca="1">MAX(0,'1_Inputs'!$B$13*(1+'1_Inputs'!$C$13*$B160))</f>
        <v>504435.89686364162</v>
      </c>
      <c r="G160" s="16">
        <f ca="1">MAX(0,'1_Inputs'!$B$14*(1+'1_Inputs'!$C$14*$B160))</f>
        <v>613181.0888494401</v>
      </c>
      <c r="H160" s="16">
        <f ca="1">NPV('1_Inputs'!$B$5,C160:G160)-'1_Inputs'!$B$4</f>
        <v>773449.88327605929</v>
      </c>
      <c r="I160" s="14" t="str">
        <f t="shared" ca="1" si="6"/>
        <v>VAN&gt;0</v>
      </c>
    </row>
    <row r="161" spans="1:9" x14ac:dyDescent="0.3">
      <c r="A161" s="14">
        <v>159</v>
      </c>
      <c r="B161" s="15">
        <f t="shared" ca="1" si="7"/>
        <v>-1.8412336013347448</v>
      </c>
      <c r="C161" s="16">
        <f ca="1">MAX(0,'1_Inputs'!$B$10*(1+'1_Inputs'!$C$10*$B161))</f>
        <v>0</v>
      </c>
      <c r="D161" s="16">
        <f ca="1">MAX(0,'1_Inputs'!$B$11*(1+'1_Inputs'!$C$11*$B161))</f>
        <v>189525.98391991528</v>
      </c>
      <c r="E161" s="16">
        <f ca="1">MAX(0,'1_Inputs'!$B$12*(1+'1_Inputs'!$C$12*$B161))</f>
        <v>234002.28311591106</v>
      </c>
      <c r="F161" s="16">
        <f ca="1">MAX(0,'1_Inputs'!$B$13*(1+'1_Inputs'!$C$13*$B161))</f>
        <v>267431.18070389837</v>
      </c>
      <c r="G161" s="16">
        <f ca="1">MAX(0,'1_Inputs'!$B$14*(1+'1_Inputs'!$C$14*$B161))</f>
        <v>242861.21984984123</v>
      </c>
      <c r="H161" s="16">
        <f ca="1">NPV('1_Inputs'!$B$5,C161:G161)-'1_Inputs'!$B$4</f>
        <v>-374589.51449520781</v>
      </c>
      <c r="I161" s="14" t="str">
        <f t="shared" ca="1" si="6"/>
        <v>VAN&lt;0</v>
      </c>
    </row>
    <row r="162" spans="1:9" x14ac:dyDescent="0.3">
      <c r="A162" s="14">
        <v>160</v>
      </c>
      <c r="B162" s="15">
        <f t="shared" ca="1" si="7"/>
        <v>-0.12394206203174941</v>
      </c>
      <c r="C162" s="16">
        <f ca="1">MAX(0,'1_Inputs'!$B$10*(1+'1_Inputs'!$C$10*$B162))</f>
        <v>225211.58759365013</v>
      </c>
      <c r="D162" s="16">
        <f ca="1">MAX(0,'1_Inputs'!$B$11*(1+'1_Inputs'!$C$11*$B162))</f>
        <v>292563.47627809504</v>
      </c>
      <c r="E162" s="16">
        <f ca="1">MAX(0,'1_Inputs'!$B$12*(1+'1_Inputs'!$C$12*$B162))</f>
        <v>342191.65009199979</v>
      </c>
      <c r="F162" s="16">
        <f ca="1">MAX(0,'1_Inputs'!$B$13*(1+'1_Inputs'!$C$13*$B162))</f>
        <v>391076.17153371405</v>
      </c>
      <c r="G162" s="16">
        <f ca="1">MAX(0,'1_Inputs'!$B$14*(1+'1_Inputs'!$C$14*$B162))</f>
        <v>436056.5180214282</v>
      </c>
      <c r="H162" s="16">
        <f ca="1">NPV('1_Inputs'!$B$5,C162:G162)-'1_Inputs'!$B$4</f>
        <v>173843.00020281551</v>
      </c>
      <c r="I162" s="14" t="str">
        <f t="shared" ca="1" si="6"/>
        <v>VAN&gt;0</v>
      </c>
    </row>
    <row r="163" spans="1:9" x14ac:dyDescent="0.3">
      <c r="A163" s="14">
        <v>161</v>
      </c>
      <c r="B163" s="15">
        <f t="shared" ca="1" si="7"/>
        <v>0.16009741526710172</v>
      </c>
      <c r="C163" s="16">
        <f ca="1">MAX(0,'1_Inputs'!$B$10*(1+'1_Inputs'!$C$10*$B163))</f>
        <v>282019.48305342032</v>
      </c>
      <c r="D163" s="16">
        <f ca="1">MAX(0,'1_Inputs'!$B$11*(1+'1_Inputs'!$C$11*$B163))</f>
        <v>309605.84491602611</v>
      </c>
      <c r="E163" s="16">
        <f ca="1">MAX(0,'1_Inputs'!$B$12*(1+'1_Inputs'!$C$12*$B163))</f>
        <v>360086.13716182741</v>
      </c>
      <c r="F163" s="16">
        <f ca="1">MAX(0,'1_Inputs'!$B$13*(1+'1_Inputs'!$C$13*$B163))</f>
        <v>411527.01389923133</v>
      </c>
      <c r="G163" s="16">
        <f ca="1">MAX(0,'1_Inputs'!$B$14*(1+'1_Inputs'!$C$14*$B163))</f>
        <v>468010.95921754895</v>
      </c>
      <c r="H163" s="16">
        <f ca="1">NPV('1_Inputs'!$B$5,C163:G163)-'1_Inputs'!$B$4</f>
        <v>282016.03794898815</v>
      </c>
      <c r="I163" s="14" t="str">
        <f t="shared" ref="I163:I194" ca="1" si="8">IF(H163&gt;0,"VAN&gt;0","VAN&lt;0")</f>
        <v>VAN&gt;0</v>
      </c>
    </row>
    <row r="164" spans="1:9" x14ac:dyDescent="0.3">
      <c r="A164" s="14">
        <v>162</v>
      </c>
      <c r="B164" s="15">
        <f t="shared" ca="1" si="7"/>
        <v>0.53587445759027941</v>
      </c>
      <c r="C164" s="16">
        <f ca="1">MAX(0,'1_Inputs'!$B$10*(1+'1_Inputs'!$C$10*$B164))</f>
        <v>357174.89151805587</v>
      </c>
      <c r="D164" s="16">
        <f ca="1">MAX(0,'1_Inputs'!$B$11*(1+'1_Inputs'!$C$11*$B164))</f>
        <v>332152.4674554168</v>
      </c>
      <c r="E164" s="16">
        <f ca="1">MAX(0,'1_Inputs'!$B$12*(1+'1_Inputs'!$C$12*$B164))</f>
        <v>383760.09082818759</v>
      </c>
      <c r="F164" s="16">
        <f ca="1">MAX(0,'1_Inputs'!$B$13*(1+'1_Inputs'!$C$13*$B164))</f>
        <v>438582.96094650013</v>
      </c>
      <c r="G164" s="16">
        <f ca="1">MAX(0,'1_Inputs'!$B$14*(1+'1_Inputs'!$C$14*$B164))</f>
        <v>510285.87647890643</v>
      </c>
      <c r="H164" s="16">
        <f ca="1">NPV('1_Inputs'!$B$5,C164:G164)-'1_Inputs'!$B$4</f>
        <v>425126.23013048456</v>
      </c>
      <c r="I164" s="14" t="str">
        <f t="shared" ca="1" si="8"/>
        <v>VAN&gt;0</v>
      </c>
    </row>
    <row r="165" spans="1:9" x14ac:dyDescent="0.3">
      <c r="A165" s="14">
        <v>163</v>
      </c>
      <c r="B165" s="15">
        <f t="shared" ca="1" si="7"/>
        <v>-1.3531611713222644</v>
      </c>
      <c r="C165" s="16">
        <f ca="1">MAX(0,'1_Inputs'!$B$10*(1+'1_Inputs'!$C$10*$B165))</f>
        <v>0</v>
      </c>
      <c r="D165" s="16">
        <f ca="1">MAX(0,'1_Inputs'!$B$11*(1+'1_Inputs'!$C$11*$B165))</f>
        <v>218810.32972066413</v>
      </c>
      <c r="E165" s="16">
        <f ca="1">MAX(0,'1_Inputs'!$B$12*(1+'1_Inputs'!$C$12*$B165))</f>
        <v>264750.84620669734</v>
      </c>
      <c r="F165" s="16">
        <f ca="1">MAX(0,'1_Inputs'!$B$13*(1+'1_Inputs'!$C$13*$B165))</f>
        <v>302572.39566479699</v>
      </c>
      <c r="G165" s="16">
        <f ca="1">MAX(0,'1_Inputs'!$B$14*(1+'1_Inputs'!$C$14*$B165))</f>
        <v>297769.36822624528</v>
      </c>
      <c r="H165" s="16">
        <f ca="1">NPV('1_Inputs'!$B$5,C165:G165)-'1_Inputs'!$B$4</f>
        <v>-275868.75806678319</v>
      </c>
      <c r="I165" s="14" t="str">
        <f t="shared" ca="1" si="8"/>
        <v>VAN&lt;0</v>
      </c>
    </row>
    <row r="166" spans="1:9" x14ac:dyDescent="0.3">
      <c r="A166" s="14">
        <v>164</v>
      </c>
      <c r="B166" s="15">
        <f t="shared" ca="1" si="7"/>
        <v>-1.1093572677564523</v>
      </c>
      <c r="C166" s="16">
        <f ca="1">MAX(0,'1_Inputs'!$B$10*(1+'1_Inputs'!$C$10*$B166))</f>
        <v>28128.546448709545</v>
      </c>
      <c r="D166" s="16">
        <f ca="1">MAX(0,'1_Inputs'!$B$11*(1+'1_Inputs'!$C$11*$B166))</f>
        <v>233438.56393461287</v>
      </c>
      <c r="E166" s="16">
        <f ca="1">MAX(0,'1_Inputs'!$B$12*(1+'1_Inputs'!$C$12*$B166))</f>
        <v>280110.49213134352</v>
      </c>
      <c r="F166" s="16">
        <f ca="1">MAX(0,'1_Inputs'!$B$13*(1+'1_Inputs'!$C$13*$B166))</f>
        <v>320126.27672153543</v>
      </c>
      <c r="G166" s="16">
        <f ca="1">MAX(0,'1_Inputs'!$B$14*(1+'1_Inputs'!$C$14*$B166))</f>
        <v>325197.30737739912</v>
      </c>
      <c r="H166" s="16">
        <f ca="1">NPV('1_Inputs'!$B$5,C166:G166)-'1_Inputs'!$B$4</f>
        <v>-201440.59508544498</v>
      </c>
      <c r="I166" s="14" t="str">
        <f t="shared" ca="1" si="8"/>
        <v>VAN&lt;0</v>
      </c>
    </row>
    <row r="167" spans="1:9" x14ac:dyDescent="0.3">
      <c r="A167" s="14">
        <v>165</v>
      </c>
      <c r="B167" s="15">
        <f t="shared" ca="1" si="7"/>
        <v>2.3252779700756827</v>
      </c>
      <c r="C167" s="16">
        <f ca="1">MAX(0,'1_Inputs'!$B$10*(1+'1_Inputs'!$C$10*$B167))</f>
        <v>715055.59401513659</v>
      </c>
      <c r="D167" s="16">
        <f ca="1">MAX(0,'1_Inputs'!$B$11*(1+'1_Inputs'!$C$11*$B167))</f>
        <v>439516.67820454098</v>
      </c>
      <c r="E167" s="16">
        <f ca="1">MAX(0,'1_Inputs'!$B$12*(1+'1_Inputs'!$C$12*$B167))</f>
        <v>496492.51211476797</v>
      </c>
      <c r="F167" s="16">
        <f ca="1">MAX(0,'1_Inputs'!$B$13*(1+'1_Inputs'!$C$13*$B167))</f>
        <v>567420.01384544908</v>
      </c>
      <c r="G167" s="16">
        <f ca="1">MAX(0,'1_Inputs'!$B$14*(1+'1_Inputs'!$C$14*$B167))</f>
        <v>711593.77163351432</v>
      </c>
      <c r="H167" s="16">
        <f ca="1">NPV('1_Inputs'!$B$5,C167:G167)-'1_Inputs'!$B$4</f>
        <v>1106599.1561475927</v>
      </c>
      <c r="I167" s="14" t="str">
        <f t="shared" ca="1" si="8"/>
        <v>VAN&gt;0</v>
      </c>
    </row>
    <row r="168" spans="1:9" x14ac:dyDescent="0.3">
      <c r="A168" s="14">
        <v>166</v>
      </c>
      <c r="B168" s="15">
        <f t="shared" ca="1" si="7"/>
        <v>1.1767244450322545</v>
      </c>
      <c r="C168" s="16">
        <f ca="1">MAX(0,'1_Inputs'!$B$10*(1+'1_Inputs'!$C$10*$B168))</f>
        <v>485344.88900645089</v>
      </c>
      <c r="D168" s="16">
        <f ca="1">MAX(0,'1_Inputs'!$B$11*(1+'1_Inputs'!$C$11*$B168))</f>
        <v>370603.46670193528</v>
      </c>
      <c r="E168" s="16">
        <f ca="1">MAX(0,'1_Inputs'!$B$12*(1+'1_Inputs'!$C$12*$B168))</f>
        <v>424133.64003703208</v>
      </c>
      <c r="F168" s="16">
        <f ca="1">MAX(0,'1_Inputs'!$B$13*(1+'1_Inputs'!$C$13*$B168))</f>
        <v>484724.16004232236</v>
      </c>
      <c r="G168" s="16">
        <f ca="1">MAX(0,'1_Inputs'!$B$14*(1+'1_Inputs'!$C$14*$B168))</f>
        <v>582381.50006612868</v>
      </c>
      <c r="H168" s="16">
        <f ca="1">NPV('1_Inputs'!$B$5,C168:G168)-'1_Inputs'!$B$4</f>
        <v>669186.28312184266</v>
      </c>
      <c r="I168" s="14" t="str">
        <f t="shared" ca="1" si="8"/>
        <v>VAN&gt;0</v>
      </c>
    </row>
    <row r="169" spans="1:9" x14ac:dyDescent="0.3">
      <c r="A169" s="14">
        <v>167</v>
      </c>
      <c r="B169" s="15">
        <f t="shared" ca="1" si="7"/>
        <v>9.7595959265139351E-2</v>
      </c>
      <c r="C169" s="16">
        <f ca="1">MAX(0,'1_Inputs'!$B$10*(1+'1_Inputs'!$C$10*$B169))</f>
        <v>269519.19185302785</v>
      </c>
      <c r="D169" s="16">
        <f ca="1">MAX(0,'1_Inputs'!$B$11*(1+'1_Inputs'!$C$11*$B169))</f>
        <v>305855.75755590841</v>
      </c>
      <c r="E169" s="16">
        <f ca="1">MAX(0,'1_Inputs'!$B$12*(1+'1_Inputs'!$C$12*$B169))</f>
        <v>356148.54543370381</v>
      </c>
      <c r="F169" s="16">
        <f ca="1">MAX(0,'1_Inputs'!$B$13*(1+'1_Inputs'!$C$13*$B169))</f>
        <v>407026.90906709008</v>
      </c>
      <c r="G169" s="16">
        <f ca="1">MAX(0,'1_Inputs'!$B$14*(1+'1_Inputs'!$C$14*$B169))</f>
        <v>460979.54541732819</v>
      </c>
      <c r="H169" s="16">
        <f ca="1">NPV('1_Inputs'!$B$5,C169:G169)-'1_Inputs'!$B$4</f>
        <v>258213.10596366622</v>
      </c>
      <c r="I169" s="14" t="str">
        <f t="shared" ca="1" si="8"/>
        <v>VAN&gt;0</v>
      </c>
    </row>
    <row r="170" spans="1:9" x14ac:dyDescent="0.3">
      <c r="A170" s="14">
        <v>168</v>
      </c>
      <c r="B170" s="15">
        <f t="shared" ca="1" si="7"/>
        <v>-0.859121418060943</v>
      </c>
      <c r="C170" s="16">
        <f ca="1">MAX(0,'1_Inputs'!$B$10*(1+'1_Inputs'!$C$10*$B170))</f>
        <v>78175.716387811393</v>
      </c>
      <c r="D170" s="16">
        <f ca="1">MAX(0,'1_Inputs'!$B$11*(1+'1_Inputs'!$C$11*$B170))</f>
        <v>248452.71491634342</v>
      </c>
      <c r="E170" s="16">
        <f ca="1">MAX(0,'1_Inputs'!$B$12*(1+'1_Inputs'!$C$12*$B170))</f>
        <v>295875.35066216061</v>
      </c>
      <c r="F170" s="16">
        <f ca="1">MAX(0,'1_Inputs'!$B$13*(1+'1_Inputs'!$C$13*$B170))</f>
        <v>338143.25789961213</v>
      </c>
      <c r="G170" s="16">
        <f ca="1">MAX(0,'1_Inputs'!$B$14*(1+'1_Inputs'!$C$14*$B170))</f>
        <v>353348.84046814387</v>
      </c>
      <c r="H170" s="16">
        <f ca="1">NPV('1_Inputs'!$B$5,C170:G170)-'1_Inputs'!$B$4</f>
        <v>-106141.26461217541</v>
      </c>
      <c r="I170" s="14" t="str">
        <f t="shared" ca="1" si="8"/>
        <v>VAN&lt;0</v>
      </c>
    </row>
    <row r="171" spans="1:9" x14ac:dyDescent="0.3">
      <c r="A171" s="14">
        <v>169</v>
      </c>
      <c r="B171" s="15">
        <f t="shared" ca="1" si="7"/>
        <v>0.41874260781561873</v>
      </c>
      <c r="C171" s="16">
        <f ca="1">MAX(0,'1_Inputs'!$B$10*(1+'1_Inputs'!$C$10*$B171))</f>
        <v>333748.52156312374</v>
      </c>
      <c r="D171" s="16">
        <f ca="1">MAX(0,'1_Inputs'!$B$11*(1+'1_Inputs'!$C$11*$B171))</f>
        <v>325124.55646893714</v>
      </c>
      <c r="E171" s="16">
        <f ca="1">MAX(0,'1_Inputs'!$B$12*(1+'1_Inputs'!$C$12*$B171))</f>
        <v>376380.78429238399</v>
      </c>
      <c r="F171" s="16">
        <f ca="1">MAX(0,'1_Inputs'!$B$13*(1+'1_Inputs'!$C$13*$B171))</f>
        <v>430149.46776272455</v>
      </c>
      <c r="G171" s="16">
        <f ca="1">MAX(0,'1_Inputs'!$B$14*(1+'1_Inputs'!$C$14*$B171))</f>
        <v>497108.54337925714</v>
      </c>
      <c r="H171" s="16">
        <f ca="1">NPV('1_Inputs'!$B$5,C171:G171)-'1_Inputs'!$B$4</f>
        <v>380517.96606998518</v>
      </c>
      <c r="I171" s="14" t="str">
        <f t="shared" ca="1" si="8"/>
        <v>VAN&gt;0</v>
      </c>
    </row>
    <row r="172" spans="1:9" x14ac:dyDescent="0.3">
      <c r="A172" s="14">
        <v>170</v>
      </c>
      <c r="B172" s="15">
        <f t="shared" ca="1" si="7"/>
        <v>-1.019094761261619</v>
      </c>
      <c r="C172" s="16">
        <f ca="1">MAX(0,'1_Inputs'!$B$10*(1+'1_Inputs'!$C$10*$B172))</f>
        <v>46181.047747676173</v>
      </c>
      <c r="D172" s="16">
        <f ca="1">MAX(0,'1_Inputs'!$B$11*(1+'1_Inputs'!$C$11*$B172))</f>
        <v>238854.31432430286</v>
      </c>
      <c r="E172" s="16">
        <f ca="1">MAX(0,'1_Inputs'!$B$12*(1+'1_Inputs'!$C$12*$B172))</f>
        <v>285797.03004051797</v>
      </c>
      <c r="F172" s="16">
        <f ca="1">MAX(0,'1_Inputs'!$B$13*(1+'1_Inputs'!$C$13*$B172))</f>
        <v>326625.1771891634</v>
      </c>
      <c r="G172" s="16">
        <f ca="1">MAX(0,'1_Inputs'!$B$14*(1+'1_Inputs'!$C$14*$B172))</f>
        <v>335351.83935806784</v>
      </c>
      <c r="H172" s="16">
        <f ca="1">NPV('1_Inputs'!$B$5,C172:G172)-'1_Inputs'!$B$4</f>
        <v>-167065.19904901076</v>
      </c>
      <c r="I172" s="14" t="str">
        <f t="shared" ca="1" si="8"/>
        <v>VAN&lt;0</v>
      </c>
    </row>
    <row r="173" spans="1:9" x14ac:dyDescent="0.3">
      <c r="A173" s="14">
        <v>171</v>
      </c>
      <c r="B173" s="15">
        <f t="shared" ca="1" si="7"/>
        <v>-0.87997318090423704</v>
      </c>
      <c r="C173" s="16">
        <f ca="1">MAX(0,'1_Inputs'!$B$10*(1+'1_Inputs'!$C$10*$B173))</f>
        <v>74005.363819152568</v>
      </c>
      <c r="D173" s="16">
        <f ca="1">MAX(0,'1_Inputs'!$B$11*(1+'1_Inputs'!$C$11*$B173))</f>
        <v>247201.60914574578</v>
      </c>
      <c r="E173" s="16">
        <f ca="1">MAX(0,'1_Inputs'!$B$12*(1+'1_Inputs'!$C$12*$B173))</f>
        <v>294561.68960303307</v>
      </c>
      <c r="F173" s="16">
        <f ca="1">MAX(0,'1_Inputs'!$B$13*(1+'1_Inputs'!$C$13*$B173))</f>
        <v>336641.9309748949</v>
      </c>
      <c r="G173" s="16">
        <f ca="1">MAX(0,'1_Inputs'!$B$14*(1+'1_Inputs'!$C$14*$B173))</f>
        <v>351003.01714827336</v>
      </c>
      <c r="H173" s="16">
        <f ca="1">NPV('1_Inputs'!$B$5,C173:G173)-'1_Inputs'!$B$4</f>
        <v>-114082.40909875219</v>
      </c>
      <c r="I173" s="14" t="str">
        <f t="shared" ca="1" si="8"/>
        <v>VAN&lt;0</v>
      </c>
    </row>
    <row r="174" spans="1:9" x14ac:dyDescent="0.3">
      <c r="A174" s="14">
        <v>172</v>
      </c>
      <c r="B174" s="15">
        <f t="shared" ca="1" si="7"/>
        <v>-0.17312755171704305</v>
      </c>
      <c r="C174" s="16">
        <f ca="1">MAX(0,'1_Inputs'!$B$10*(1+'1_Inputs'!$C$10*$B174))</f>
        <v>215374.48965659138</v>
      </c>
      <c r="D174" s="16">
        <f ca="1">MAX(0,'1_Inputs'!$B$11*(1+'1_Inputs'!$C$11*$B174))</f>
        <v>289612.3468969774</v>
      </c>
      <c r="E174" s="16">
        <f ca="1">MAX(0,'1_Inputs'!$B$12*(1+'1_Inputs'!$C$12*$B174))</f>
        <v>339092.96424182627</v>
      </c>
      <c r="F174" s="16">
        <f ca="1">MAX(0,'1_Inputs'!$B$13*(1+'1_Inputs'!$C$13*$B174))</f>
        <v>387534.81627637288</v>
      </c>
      <c r="G174" s="16">
        <f ca="1">MAX(0,'1_Inputs'!$B$14*(1+'1_Inputs'!$C$14*$B174))</f>
        <v>430523.15043183265</v>
      </c>
      <c r="H174" s="16">
        <f ca="1">NPV('1_Inputs'!$B$5,C174:G174)-'1_Inputs'!$B$4</f>
        <v>155111.29472691333</v>
      </c>
      <c r="I174" s="14" t="str">
        <f t="shared" ca="1" si="8"/>
        <v>VAN&gt;0</v>
      </c>
    </row>
    <row r="175" spans="1:9" x14ac:dyDescent="0.3">
      <c r="A175" s="14">
        <v>173</v>
      </c>
      <c r="B175" s="15">
        <f t="shared" ca="1" si="7"/>
        <v>-0.61769846724801647</v>
      </c>
      <c r="C175" s="16">
        <f ca="1">MAX(0,'1_Inputs'!$B$10*(1+'1_Inputs'!$C$10*$B175))</f>
        <v>126460.30655039669</v>
      </c>
      <c r="D175" s="16">
        <f ca="1">MAX(0,'1_Inputs'!$B$11*(1+'1_Inputs'!$C$11*$B175))</f>
        <v>262938.09196511901</v>
      </c>
      <c r="E175" s="16">
        <f ca="1">MAX(0,'1_Inputs'!$B$12*(1+'1_Inputs'!$C$12*$B175))</f>
        <v>311084.99656337494</v>
      </c>
      <c r="F175" s="16">
        <f ca="1">MAX(0,'1_Inputs'!$B$13*(1+'1_Inputs'!$C$13*$B175))</f>
        <v>355525.71035814279</v>
      </c>
      <c r="G175" s="16">
        <f ca="1">MAX(0,'1_Inputs'!$B$14*(1+'1_Inputs'!$C$14*$B175))</f>
        <v>380508.92243459815</v>
      </c>
      <c r="H175" s="16">
        <f ca="1">NPV('1_Inputs'!$B$5,C175:G175)-'1_Inputs'!$B$4</f>
        <v>-14198.221273865434</v>
      </c>
      <c r="I175" s="14" t="str">
        <f t="shared" ca="1" si="8"/>
        <v>VAN&lt;0</v>
      </c>
    </row>
    <row r="176" spans="1:9" x14ac:dyDescent="0.3">
      <c r="A176" s="14">
        <v>174</v>
      </c>
      <c r="B176" s="15">
        <f t="shared" ca="1" si="7"/>
        <v>-0.63981972354665329</v>
      </c>
      <c r="C176" s="16">
        <f ca="1">MAX(0,'1_Inputs'!$B$10*(1+'1_Inputs'!$C$10*$B176))</f>
        <v>122036.05529066932</v>
      </c>
      <c r="D176" s="16">
        <f ca="1">MAX(0,'1_Inputs'!$B$11*(1+'1_Inputs'!$C$11*$B176))</f>
        <v>261610.8165872008</v>
      </c>
      <c r="E176" s="16">
        <f ca="1">MAX(0,'1_Inputs'!$B$12*(1+'1_Inputs'!$C$12*$B176))</f>
        <v>309691.35741656087</v>
      </c>
      <c r="F176" s="16">
        <f ca="1">MAX(0,'1_Inputs'!$B$13*(1+'1_Inputs'!$C$13*$B176))</f>
        <v>353932.97990464099</v>
      </c>
      <c r="G176" s="16">
        <f ca="1">MAX(0,'1_Inputs'!$B$14*(1+'1_Inputs'!$C$14*$B176))</f>
        <v>378020.28110100148</v>
      </c>
      <c r="H176" s="16">
        <f ca="1">NPV('1_Inputs'!$B$5,C176:G176)-'1_Inputs'!$B$4</f>
        <v>-22622.837159450515</v>
      </c>
      <c r="I176" s="14" t="str">
        <f t="shared" ca="1" si="8"/>
        <v>VAN&lt;0</v>
      </c>
    </row>
    <row r="177" spans="1:9" x14ac:dyDescent="0.3">
      <c r="A177" s="14">
        <v>175</v>
      </c>
      <c r="B177" s="15">
        <f t="shared" ca="1" si="7"/>
        <v>0.69606712557844297</v>
      </c>
      <c r="C177" s="16">
        <f ca="1">MAX(0,'1_Inputs'!$B$10*(1+'1_Inputs'!$C$10*$B177))</f>
        <v>389213.42511568859</v>
      </c>
      <c r="D177" s="16">
        <f ca="1">MAX(0,'1_Inputs'!$B$11*(1+'1_Inputs'!$C$11*$B177))</f>
        <v>341764.02753470658</v>
      </c>
      <c r="E177" s="16">
        <f ca="1">MAX(0,'1_Inputs'!$B$12*(1+'1_Inputs'!$C$12*$B177))</f>
        <v>393852.22891144193</v>
      </c>
      <c r="F177" s="16">
        <f ca="1">MAX(0,'1_Inputs'!$B$13*(1+'1_Inputs'!$C$13*$B177))</f>
        <v>450116.83304164791</v>
      </c>
      <c r="G177" s="16">
        <f ca="1">MAX(0,'1_Inputs'!$B$14*(1+'1_Inputs'!$C$14*$B177))</f>
        <v>528307.55162757484</v>
      </c>
      <c r="H177" s="16">
        <f ca="1">NPV('1_Inputs'!$B$5,C177:G177)-'1_Inputs'!$B$4</f>
        <v>486133.69178945548</v>
      </c>
      <c r="I177" s="14" t="str">
        <f t="shared" ca="1" si="8"/>
        <v>VAN&gt;0</v>
      </c>
    </row>
    <row r="178" spans="1:9" x14ac:dyDescent="0.3">
      <c r="A178" s="14">
        <v>176</v>
      </c>
      <c r="B178" s="15">
        <f t="shared" ca="1" si="7"/>
        <v>-0.91492390149583358</v>
      </c>
      <c r="C178" s="16">
        <f ca="1">MAX(0,'1_Inputs'!$B$10*(1+'1_Inputs'!$C$10*$B178))</f>
        <v>67015.219700833273</v>
      </c>
      <c r="D178" s="16">
        <f ca="1">MAX(0,'1_Inputs'!$B$11*(1+'1_Inputs'!$C$11*$B178))</f>
        <v>245104.56591024998</v>
      </c>
      <c r="E178" s="16">
        <f ca="1">MAX(0,'1_Inputs'!$B$12*(1+'1_Inputs'!$C$12*$B178))</f>
        <v>292359.79420576245</v>
      </c>
      <c r="F178" s="16">
        <f ca="1">MAX(0,'1_Inputs'!$B$13*(1+'1_Inputs'!$C$13*$B178))</f>
        <v>334125.4790923</v>
      </c>
      <c r="G178" s="16">
        <f ca="1">MAX(0,'1_Inputs'!$B$14*(1+'1_Inputs'!$C$14*$B178))</f>
        <v>347071.06108171871</v>
      </c>
      <c r="H178" s="16">
        <f ca="1">NPV('1_Inputs'!$B$5,C178:G178)-'1_Inputs'!$B$4</f>
        <v>-127392.97301671351</v>
      </c>
      <c r="I178" s="14" t="str">
        <f t="shared" ca="1" si="8"/>
        <v>VAN&lt;0</v>
      </c>
    </row>
    <row r="179" spans="1:9" x14ac:dyDescent="0.3">
      <c r="A179" s="14">
        <v>177</v>
      </c>
      <c r="B179" s="15">
        <f t="shared" ca="1" si="7"/>
        <v>-0.61358329457880201</v>
      </c>
      <c r="C179" s="16">
        <f ca="1">MAX(0,'1_Inputs'!$B$10*(1+'1_Inputs'!$C$10*$B179))</f>
        <v>127283.34108423961</v>
      </c>
      <c r="D179" s="16">
        <f ca="1">MAX(0,'1_Inputs'!$B$11*(1+'1_Inputs'!$C$11*$B179))</f>
        <v>263185.00232527184</v>
      </c>
      <c r="E179" s="16">
        <f ca="1">MAX(0,'1_Inputs'!$B$12*(1+'1_Inputs'!$C$12*$B179))</f>
        <v>311344.25244153547</v>
      </c>
      <c r="F179" s="16">
        <f ca="1">MAX(0,'1_Inputs'!$B$13*(1+'1_Inputs'!$C$13*$B179))</f>
        <v>355822.00279032625</v>
      </c>
      <c r="G179" s="16">
        <f ca="1">MAX(0,'1_Inputs'!$B$14*(1+'1_Inputs'!$C$14*$B179))</f>
        <v>380971.87935988477</v>
      </c>
      <c r="H179" s="16">
        <f ca="1">NPV('1_Inputs'!$B$5,C179:G179)-'1_Inputs'!$B$4</f>
        <v>-12631.006981288083</v>
      </c>
      <c r="I179" s="14" t="str">
        <f t="shared" ca="1" si="8"/>
        <v>VAN&lt;0</v>
      </c>
    </row>
    <row r="180" spans="1:9" x14ac:dyDescent="0.3">
      <c r="A180" s="14">
        <v>178</v>
      </c>
      <c r="B180" s="15">
        <f t="shared" ca="1" si="7"/>
        <v>-0.71560839289107792</v>
      </c>
      <c r="C180" s="16">
        <f ca="1">MAX(0,'1_Inputs'!$B$10*(1+'1_Inputs'!$C$10*$B180))</f>
        <v>106878.32142178441</v>
      </c>
      <c r="D180" s="16">
        <f ca="1">MAX(0,'1_Inputs'!$B$11*(1+'1_Inputs'!$C$11*$B180))</f>
        <v>257063.49642653533</v>
      </c>
      <c r="E180" s="16">
        <f ca="1">MAX(0,'1_Inputs'!$B$12*(1+'1_Inputs'!$C$12*$B180))</f>
        <v>304916.6712478621</v>
      </c>
      <c r="F180" s="16">
        <f ca="1">MAX(0,'1_Inputs'!$B$13*(1+'1_Inputs'!$C$13*$B180))</f>
        <v>348476.19571184239</v>
      </c>
      <c r="G180" s="16">
        <f ca="1">MAX(0,'1_Inputs'!$B$14*(1+'1_Inputs'!$C$14*$B180))</f>
        <v>369494.05579975375</v>
      </c>
      <c r="H180" s="16">
        <f ca="1">NPV('1_Inputs'!$B$5,C180:G180)-'1_Inputs'!$B$4</f>
        <v>-51486.045427859412</v>
      </c>
      <c r="I180" s="14" t="str">
        <f t="shared" ca="1" si="8"/>
        <v>VAN&lt;0</v>
      </c>
    </row>
    <row r="181" spans="1:9" x14ac:dyDescent="0.3">
      <c r="A181" s="14">
        <v>179</v>
      </c>
      <c r="B181" s="15">
        <f t="shared" ca="1" si="7"/>
        <v>6.6444570124179836E-3</v>
      </c>
      <c r="C181" s="16">
        <f ca="1">MAX(0,'1_Inputs'!$B$10*(1+'1_Inputs'!$C$10*$B181))</f>
        <v>251328.8914024836</v>
      </c>
      <c r="D181" s="16">
        <f ca="1">MAX(0,'1_Inputs'!$B$11*(1+'1_Inputs'!$C$11*$B181))</f>
        <v>300398.66742074507</v>
      </c>
      <c r="E181" s="16">
        <f ca="1">MAX(0,'1_Inputs'!$B$12*(1+'1_Inputs'!$C$12*$B181))</f>
        <v>350418.60079178232</v>
      </c>
      <c r="F181" s="16">
        <f ca="1">MAX(0,'1_Inputs'!$B$13*(1+'1_Inputs'!$C$13*$B181))</f>
        <v>400478.40090489411</v>
      </c>
      <c r="G181" s="16">
        <f ca="1">MAX(0,'1_Inputs'!$B$14*(1+'1_Inputs'!$C$14*$B181))</f>
        <v>450747.50141389703</v>
      </c>
      <c r="H181" s="16">
        <f ca="1">NPV('1_Inputs'!$B$5,C181:G181)-'1_Inputs'!$B$4</f>
        <v>223575.31413340173</v>
      </c>
      <c r="I181" s="14" t="str">
        <f t="shared" ca="1" si="8"/>
        <v>VAN&gt;0</v>
      </c>
    </row>
    <row r="182" spans="1:9" x14ac:dyDescent="0.3">
      <c r="A182" s="14">
        <v>180</v>
      </c>
      <c r="B182" s="15">
        <f t="shared" ca="1" si="7"/>
        <v>0.95742609466997963</v>
      </c>
      <c r="C182" s="16">
        <f ca="1">MAX(0,'1_Inputs'!$B$10*(1+'1_Inputs'!$C$10*$B182))</f>
        <v>441485.21893399593</v>
      </c>
      <c r="D182" s="16">
        <f ca="1">MAX(0,'1_Inputs'!$B$11*(1+'1_Inputs'!$C$11*$B182))</f>
        <v>357445.56568019878</v>
      </c>
      <c r="E182" s="16">
        <f ca="1">MAX(0,'1_Inputs'!$B$12*(1+'1_Inputs'!$C$12*$B182))</f>
        <v>410317.84396420873</v>
      </c>
      <c r="F182" s="16">
        <f ca="1">MAX(0,'1_Inputs'!$B$13*(1+'1_Inputs'!$C$13*$B182))</f>
        <v>468934.67881623853</v>
      </c>
      <c r="G182" s="16">
        <f ca="1">MAX(0,'1_Inputs'!$B$14*(1+'1_Inputs'!$C$14*$B182))</f>
        <v>557710.43565037264</v>
      </c>
      <c r="H182" s="16">
        <f ca="1">NPV('1_Inputs'!$B$5,C182:G182)-'1_Inputs'!$B$4</f>
        <v>585669.12924941606</v>
      </c>
      <c r="I182" s="14" t="str">
        <f t="shared" ca="1" si="8"/>
        <v>VAN&gt;0</v>
      </c>
    </row>
    <row r="183" spans="1:9" x14ac:dyDescent="0.3">
      <c r="A183" s="14">
        <v>181</v>
      </c>
      <c r="B183" s="15">
        <f t="shared" ca="1" si="7"/>
        <v>0.54635401697121844</v>
      </c>
      <c r="C183" s="16">
        <f ca="1">MAX(0,'1_Inputs'!$B$10*(1+'1_Inputs'!$C$10*$B183))</f>
        <v>359270.80339424365</v>
      </c>
      <c r="D183" s="16">
        <f ca="1">MAX(0,'1_Inputs'!$B$11*(1+'1_Inputs'!$C$11*$B183))</f>
        <v>332781.24101827311</v>
      </c>
      <c r="E183" s="16">
        <f ca="1">MAX(0,'1_Inputs'!$B$12*(1+'1_Inputs'!$C$12*$B183))</f>
        <v>384420.3030691868</v>
      </c>
      <c r="F183" s="16">
        <f ca="1">MAX(0,'1_Inputs'!$B$13*(1+'1_Inputs'!$C$13*$B183))</f>
        <v>439337.48922192777</v>
      </c>
      <c r="G183" s="16">
        <f ca="1">MAX(0,'1_Inputs'!$B$14*(1+'1_Inputs'!$C$14*$B183))</f>
        <v>511464.82690926205</v>
      </c>
      <c r="H183" s="16">
        <f ca="1">NPV('1_Inputs'!$B$5,C183:G183)-'1_Inputs'!$B$4</f>
        <v>429117.24498256762</v>
      </c>
      <c r="I183" s="14" t="str">
        <f t="shared" ca="1" si="8"/>
        <v>VAN&gt;0</v>
      </c>
    </row>
    <row r="184" spans="1:9" x14ac:dyDescent="0.3">
      <c r="A184" s="14">
        <v>182</v>
      </c>
      <c r="B184" s="15">
        <f t="shared" ca="1" si="7"/>
        <v>-1.1896551116587183E-2</v>
      </c>
      <c r="C184" s="16">
        <f ca="1">MAX(0,'1_Inputs'!$B$10*(1+'1_Inputs'!$C$10*$B184))</f>
        <v>247620.68977668256</v>
      </c>
      <c r="D184" s="16">
        <f ca="1">MAX(0,'1_Inputs'!$B$11*(1+'1_Inputs'!$C$11*$B184))</f>
        <v>299286.20693300478</v>
      </c>
      <c r="E184" s="16">
        <f ca="1">MAX(0,'1_Inputs'!$B$12*(1+'1_Inputs'!$C$12*$B184))</f>
        <v>349250.51727965503</v>
      </c>
      <c r="F184" s="16">
        <f ca="1">MAX(0,'1_Inputs'!$B$13*(1+'1_Inputs'!$C$13*$B184))</f>
        <v>399143.44831960573</v>
      </c>
      <c r="G184" s="16">
        <f ca="1">MAX(0,'1_Inputs'!$B$14*(1+'1_Inputs'!$C$14*$B184))</f>
        <v>448661.63799938397</v>
      </c>
      <c r="H184" s="16">
        <f ca="1">NPV('1_Inputs'!$B$5,C184:G184)-'1_Inputs'!$B$4</f>
        <v>216514.19294255832</v>
      </c>
      <c r="I184" s="14" t="str">
        <f t="shared" ca="1" si="8"/>
        <v>VAN&gt;0</v>
      </c>
    </row>
    <row r="185" spans="1:9" x14ac:dyDescent="0.3">
      <c r="A185" s="14">
        <v>183</v>
      </c>
      <c r="B185" s="15">
        <f t="shared" ca="1" si="7"/>
        <v>0.1492815133188598</v>
      </c>
      <c r="C185" s="16">
        <f ca="1">MAX(0,'1_Inputs'!$B$10*(1+'1_Inputs'!$C$10*$B185))</f>
        <v>279856.30266377196</v>
      </c>
      <c r="D185" s="16">
        <f ca="1">MAX(0,'1_Inputs'!$B$11*(1+'1_Inputs'!$C$11*$B185))</f>
        <v>308956.89079913159</v>
      </c>
      <c r="E185" s="16">
        <f ca="1">MAX(0,'1_Inputs'!$B$12*(1+'1_Inputs'!$C$12*$B185))</f>
        <v>359404.73533908819</v>
      </c>
      <c r="F185" s="16">
        <f ca="1">MAX(0,'1_Inputs'!$B$13*(1+'1_Inputs'!$C$13*$B185))</f>
        <v>410748.26895895792</v>
      </c>
      <c r="G185" s="16">
        <f ca="1">MAX(0,'1_Inputs'!$B$14*(1+'1_Inputs'!$C$14*$B185))</f>
        <v>466794.17024837172</v>
      </c>
      <c r="H185" s="16">
        <f ca="1">NPV('1_Inputs'!$B$5,C185:G185)-'1_Inputs'!$B$4</f>
        <v>277896.93105288921</v>
      </c>
      <c r="I185" s="14" t="str">
        <f t="shared" ca="1" si="8"/>
        <v>VAN&gt;0</v>
      </c>
    </row>
    <row r="186" spans="1:9" x14ac:dyDescent="0.3">
      <c r="A186" s="14">
        <v>184</v>
      </c>
      <c r="B186" s="15">
        <f t="shared" ca="1" si="7"/>
        <v>0.18388353165508864</v>
      </c>
      <c r="C186" s="16">
        <f ca="1">MAX(0,'1_Inputs'!$B$10*(1+'1_Inputs'!$C$10*$B186))</f>
        <v>286776.70633101772</v>
      </c>
      <c r="D186" s="16">
        <f ca="1">MAX(0,'1_Inputs'!$B$11*(1+'1_Inputs'!$C$11*$B186))</f>
        <v>311033.01189930533</v>
      </c>
      <c r="E186" s="16">
        <f ca="1">MAX(0,'1_Inputs'!$B$12*(1+'1_Inputs'!$C$12*$B186))</f>
        <v>361584.6624942706</v>
      </c>
      <c r="F186" s="16">
        <f ca="1">MAX(0,'1_Inputs'!$B$13*(1+'1_Inputs'!$C$13*$B186))</f>
        <v>413239.61427916639</v>
      </c>
      <c r="G186" s="16">
        <f ca="1">MAX(0,'1_Inputs'!$B$14*(1+'1_Inputs'!$C$14*$B186))</f>
        <v>470686.89731119748</v>
      </c>
      <c r="H186" s="16">
        <f ca="1">NPV('1_Inputs'!$B$5,C186:G186)-'1_Inputs'!$B$4</f>
        <v>291074.69588746014</v>
      </c>
      <c r="I186" s="14" t="str">
        <f t="shared" ca="1" si="8"/>
        <v>VAN&gt;0</v>
      </c>
    </row>
    <row r="187" spans="1:9" x14ac:dyDescent="0.3">
      <c r="A187" s="14">
        <v>185</v>
      </c>
      <c r="B187" s="15">
        <f t="shared" ca="1" si="7"/>
        <v>-1.3355570271188772</v>
      </c>
      <c r="C187" s="16">
        <f ca="1">MAX(0,'1_Inputs'!$B$10*(1+'1_Inputs'!$C$10*$B187))</f>
        <v>0</v>
      </c>
      <c r="D187" s="16">
        <f ca="1">MAX(0,'1_Inputs'!$B$11*(1+'1_Inputs'!$C$11*$B187))</f>
        <v>219866.57837286734</v>
      </c>
      <c r="E187" s="16">
        <f ca="1">MAX(0,'1_Inputs'!$B$12*(1+'1_Inputs'!$C$12*$B187))</f>
        <v>265859.90729151072</v>
      </c>
      <c r="F187" s="16">
        <f ca="1">MAX(0,'1_Inputs'!$B$13*(1+'1_Inputs'!$C$13*$B187))</f>
        <v>303839.89404744084</v>
      </c>
      <c r="G187" s="16">
        <f ca="1">MAX(0,'1_Inputs'!$B$14*(1+'1_Inputs'!$C$14*$B187))</f>
        <v>299749.83444912627</v>
      </c>
      <c r="H187" s="16">
        <f ca="1">NPV('1_Inputs'!$B$5,C187:G187)-'1_Inputs'!$B$4</f>
        <v>-272308.02747606114</v>
      </c>
      <c r="I187" s="14" t="str">
        <f t="shared" ca="1" si="8"/>
        <v>VAN&lt;0</v>
      </c>
    </row>
    <row r="188" spans="1:9" x14ac:dyDescent="0.3">
      <c r="A188" s="14">
        <v>186</v>
      </c>
      <c r="B188" s="15">
        <f t="shared" ca="1" si="7"/>
        <v>-0.27930907328489235</v>
      </c>
      <c r="C188" s="16">
        <f ca="1">MAX(0,'1_Inputs'!$B$10*(1+'1_Inputs'!$C$10*$B188))</f>
        <v>194138.18534302153</v>
      </c>
      <c r="D188" s="16">
        <f ca="1">MAX(0,'1_Inputs'!$B$11*(1+'1_Inputs'!$C$11*$B188))</f>
        <v>283241.45560290647</v>
      </c>
      <c r="E188" s="16">
        <f ca="1">MAX(0,'1_Inputs'!$B$12*(1+'1_Inputs'!$C$12*$B188))</f>
        <v>332403.5283830518</v>
      </c>
      <c r="F188" s="16">
        <f ca="1">MAX(0,'1_Inputs'!$B$13*(1+'1_Inputs'!$C$13*$B188))</f>
        <v>379889.74672348774</v>
      </c>
      <c r="G188" s="16">
        <f ca="1">MAX(0,'1_Inputs'!$B$14*(1+'1_Inputs'!$C$14*$B188))</f>
        <v>418577.72925544961</v>
      </c>
      <c r="H188" s="16">
        <f ca="1">NPV('1_Inputs'!$B$5,C188:G188)-'1_Inputs'!$B$4</f>
        <v>114673.33219531737</v>
      </c>
      <c r="I188" s="14" t="str">
        <f t="shared" ca="1" si="8"/>
        <v>VAN&gt;0</v>
      </c>
    </row>
    <row r="189" spans="1:9" x14ac:dyDescent="0.3">
      <c r="A189" s="14">
        <v>187</v>
      </c>
      <c r="B189" s="15">
        <f t="shared" ca="1" si="7"/>
        <v>-0.450944862417477</v>
      </c>
      <c r="C189" s="16">
        <f ca="1">MAX(0,'1_Inputs'!$B$10*(1+'1_Inputs'!$C$10*$B189))</f>
        <v>159811.0275165046</v>
      </c>
      <c r="D189" s="16">
        <f ca="1">MAX(0,'1_Inputs'!$B$11*(1+'1_Inputs'!$C$11*$B189))</f>
        <v>272943.30825495138</v>
      </c>
      <c r="E189" s="16">
        <f ca="1">MAX(0,'1_Inputs'!$B$12*(1+'1_Inputs'!$C$12*$B189))</f>
        <v>321590.47366769897</v>
      </c>
      <c r="F189" s="16">
        <f ca="1">MAX(0,'1_Inputs'!$B$13*(1+'1_Inputs'!$C$13*$B189))</f>
        <v>367531.96990594163</v>
      </c>
      <c r="G189" s="16">
        <f ca="1">MAX(0,'1_Inputs'!$B$14*(1+'1_Inputs'!$C$14*$B189))</f>
        <v>399268.70297803386</v>
      </c>
      <c r="H189" s="16">
        <f ca="1">NPV('1_Inputs'!$B$5,C189:G189)-'1_Inputs'!$B$4</f>
        <v>49307.894711080706</v>
      </c>
      <c r="I189" s="14" t="str">
        <f t="shared" ca="1" si="8"/>
        <v>VAN&gt;0</v>
      </c>
    </row>
    <row r="190" spans="1:9" x14ac:dyDescent="0.3">
      <c r="A190" s="14">
        <v>188</v>
      </c>
      <c r="B190" s="15">
        <f t="shared" ca="1" si="7"/>
        <v>1.3641973371025657</v>
      </c>
      <c r="C190" s="16">
        <f ca="1">MAX(0,'1_Inputs'!$B$10*(1+'1_Inputs'!$C$10*$B190))</f>
        <v>522839.46742051322</v>
      </c>
      <c r="D190" s="16">
        <f ca="1">MAX(0,'1_Inputs'!$B$11*(1+'1_Inputs'!$C$11*$B190))</f>
        <v>381851.84022615396</v>
      </c>
      <c r="E190" s="16">
        <f ca="1">MAX(0,'1_Inputs'!$B$12*(1+'1_Inputs'!$C$12*$B190))</f>
        <v>435944.43223746167</v>
      </c>
      <c r="F190" s="16">
        <f ca="1">MAX(0,'1_Inputs'!$B$13*(1+'1_Inputs'!$C$13*$B190))</f>
        <v>498222.20827138476</v>
      </c>
      <c r="G190" s="16">
        <f ca="1">MAX(0,'1_Inputs'!$B$14*(1+'1_Inputs'!$C$14*$B190))</f>
        <v>603472.20042403857</v>
      </c>
      <c r="H190" s="16">
        <f ca="1">NPV('1_Inputs'!$B$5,C190:G190)-'1_Inputs'!$B$4</f>
        <v>740583.09184420574</v>
      </c>
      <c r="I190" s="14" t="str">
        <f t="shared" ca="1" si="8"/>
        <v>VAN&gt;0</v>
      </c>
    </row>
    <row r="191" spans="1:9" x14ac:dyDescent="0.3">
      <c r="A191" s="14">
        <v>189</v>
      </c>
      <c r="B191" s="15">
        <f t="shared" ca="1" si="7"/>
        <v>0.13733100921688829</v>
      </c>
      <c r="C191" s="16">
        <f ca="1">MAX(0,'1_Inputs'!$B$10*(1+'1_Inputs'!$C$10*$B191))</f>
        <v>277466.20184337767</v>
      </c>
      <c r="D191" s="16">
        <f ca="1">MAX(0,'1_Inputs'!$B$11*(1+'1_Inputs'!$C$11*$B191))</f>
        <v>308239.86055301328</v>
      </c>
      <c r="E191" s="16">
        <f ca="1">MAX(0,'1_Inputs'!$B$12*(1+'1_Inputs'!$C$12*$B191))</f>
        <v>358651.85358066397</v>
      </c>
      <c r="F191" s="16">
        <f ca="1">MAX(0,'1_Inputs'!$B$13*(1+'1_Inputs'!$C$13*$B191))</f>
        <v>409887.83266361599</v>
      </c>
      <c r="G191" s="16">
        <f ca="1">MAX(0,'1_Inputs'!$B$14*(1+'1_Inputs'!$C$14*$B191))</f>
        <v>465449.73853689991</v>
      </c>
      <c r="H191" s="16">
        <f ca="1">NPV('1_Inputs'!$B$5,C191:G191)-'1_Inputs'!$B$4</f>
        <v>273345.72449666751</v>
      </c>
      <c r="I191" s="14" t="str">
        <f t="shared" ca="1" si="8"/>
        <v>VAN&gt;0</v>
      </c>
    </row>
    <row r="192" spans="1:9" x14ac:dyDescent="0.3">
      <c r="A192" s="14">
        <v>190</v>
      </c>
      <c r="B192" s="15">
        <f t="shared" ca="1" si="7"/>
        <v>0.22586412166302269</v>
      </c>
      <c r="C192" s="16">
        <f ca="1">MAX(0,'1_Inputs'!$B$10*(1+'1_Inputs'!$C$10*$B192))</f>
        <v>295172.82433260453</v>
      </c>
      <c r="D192" s="16">
        <f ca="1">MAX(0,'1_Inputs'!$B$11*(1+'1_Inputs'!$C$11*$B192))</f>
        <v>313551.8472997814</v>
      </c>
      <c r="E192" s="16">
        <f ca="1">MAX(0,'1_Inputs'!$B$12*(1+'1_Inputs'!$C$12*$B192))</f>
        <v>364229.43966477044</v>
      </c>
      <c r="F192" s="16">
        <f ca="1">MAX(0,'1_Inputs'!$B$13*(1+'1_Inputs'!$C$13*$B192))</f>
        <v>416262.2167597377</v>
      </c>
      <c r="G192" s="16">
        <f ca="1">MAX(0,'1_Inputs'!$B$14*(1+'1_Inputs'!$C$14*$B192))</f>
        <v>475409.71368709003</v>
      </c>
      <c r="H192" s="16">
        <f ca="1">NPV('1_Inputs'!$B$5,C192:G192)-'1_Inputs'!$B$4</f>
        <v>307062.50149363955</v>
      </c>
      <c r="I192" s="14" t="str">
        <f t="shared" ca="1" si="8"/>
        <v>VAN&gt;0</v>
      </c>
    </row>
    <row r="193" spans="1:9" x14ac:dyDescent="0.3">
      <c r="A193" s="14">
        <v>191</v>
      </c>
      <c r="B193" s="15">
        <f t="shared" ca="1" si="7"/>
        <v>-0.19789379363701615</v>
      </c>
      <c r="C193" s="16">
        <f ca="1">MAX(0,'1_Inputs'!$B$10*(1+'1_Inputs'!$C$10*$B193))</f>
        <v>210421.24127259676</v>
      </c>
      <c r="D193" s="16">
        <f ca="1">MAX(0,'1_Inputs'!$B$11*(1+'1_Inputs'!$C$11*$B193))</f>
        <v>288126.37238177902</v>
      </c>
      <c r="E193" s="16">
        <f ca="1">MAX(0,'1_Inputs'!$B$12*(1+'1_Inputs'!$C$12*$B193))</f>
        <v>337532.69100086798</v>
      </c>
      <c r="F193" s="16">
        <f ca="1">MAX(0,'1_Inputs'!$B$13*(1+'1_Inputs'!$C$13*$B193))</f>
        <v>385751.64685813483</v>
      </c>
      <c r="G193" s="16">
        <f ca="1">MAX(0,'1_Inputs'!$B$14*(1+'1_Inputs'!$C$14*$B193))</f>
        <v>427736.94821583567</v>
      </c>
      <c r="H193" s="16">
        <f ca="1">NPV('1_Inputs'!$B$5,C193:G193)-'1_Inputs'!$B$4</f>
        <v>145679.36770213069</v>
      </c>
      <c r="I193" s="14" t="str">
        <f t="shared" ca="1" si="8"/>
        <v>VAN&gt;0</v>
      </c>
    </row>
    <row r="194" spans="1:9" x14ac:dyDescent="0.3">
      <c r="A194" s="14">
        <v>192</v>
      </c>
      <c r="B194" s="15">
        <f t="shared" ca="1" si="7"/>
        <v>1.604781927707478</v>
      </c>
      <c r="C194" s="16">
        <f ca="1">MAX(0,'1_Inputs'!$B$10*(1+'1_Inputs'!$C$10*$B194))</f>
        <v>570956.38554149563</v>
      </c>
      <c r="D194" s="16">
        <f ca="1">MAX(0,'1_Inputs'!$B$11*(1+'1_Inputs'!$C$11*$B194))</f>
        <v>396286.91566244868</v>
      </c>
      <c r="E194" s="16">
        <f ca="1">MAX(0,'1_Inputs'!$B$12*(1+'1_Inputs'!$C$12*$B194))</f>
        <v>451101.26144557114</v>
      </c>
      <c r="F194" s="16">
        <f ca="1">MAX(0,'1_Inputs'!$B$13*(1+'1_Inputs'!$C$13*$B194))</f>
        <v>515544.29879493843</v>
      </c>
      <c r="G194" s="16">
        <f ca="1">MAX(0,'1_Inputs'!$B$14*(1+'1_Inputs'!$C$14*$B194))</f>
        <v>630537.96686709125</v>
      </c>
      <c r="H194" s="16">
        <f ca="1">NPV('1_Inputs'!$B$5,C194:G194)-'1_Inputs'!$B$4</f>
        <v>832206.85572429071</v>
      </c>
      <c r="I194" s="14" t="str">
        <f t="shared" ca="1" si="8"/>
        <v>VAN&gt;0</v>
      </c>
    </row>
    <row r="195" spans="1:9" x14ac:dyDescent="0.3">
      <c r="A195" s="14">
        <v>193</v>
      </c>
      <c r="B195" s="15">
        <f t="shared" ca="1" si="7"/>
        <v>-0.98282562787650662</v>
      </c>
      <c r="C195" s="16">
        <f ca="1">MAX(0,'1_Inputs'!$B$10*(1+'1_Inputs'!$C$10*$B195))</f>
        <v>53434.874424698661</v>
      </c>
      <c r="D195" s="16">
        <f ca="1">MAX(0,'1_Inputs'!$B$11*(1+'1_Inputs'!$C$11*$B195))</f>
        <v>241030.46232740959</v>
      </c>
      <c r="E195" s="16">
        <f ca="1">MAX(0,'1_Inputs'!$B$12*(1+'1_Inputs'!$C$12*$B195))</f>
        <v>288081.98544378008</v>
      </c>
      <c r="F195" s="16">
        <f ca="1">MAX(0,'1_Inputs'!$B$13*(1+'1_Inputs'!$C$13*$B195))</f>
        <v>329236.55479289155</v>
      </c>
      <c r="G195" s="16">
        <f ca="1">MAX(0,'1_Inputs'!$B$14*(1+'1_Inputs'!$C$14*$B195))</f>
        <v>339432.11686389305</v>
      </c>
      <c r="H195" s="16">
        <f ca="1">NPV('1_Inputs'!$B$5,C195:G195)-'1_Inputs'!$B$4</f>
        <v>-153252.53338718519</v>
      </c>
      <c r="I195" s="14" t="str">
        <f t="shared" ref="I195:I202" ca="1" si="9">IF(H195&gt;0,"VAN&gt;0","VAN&lt;0")</f>
        <v>VAN&lt;0</v>
      </c>
    </row>
    <row r="196" spans="1:9" x14ac:dyDescent="0.3">
      <c r="A196" s="14">
        <v>194</v>
      </c>
      <c r="B196" s="15">
        <f t="shared" ref="B196:B202" ca="1" si="10">NORMINV(RAND(),0,1)</f>
        <v>1.0264495861463538</v>
      </c>
      <c r="C196" s="16">
        <f ca="1">MAX(0,'1_Inputs'!$B$10*(1+'1_Inputs'!$C$10*$B196))</f>
        <v>455289.9172292708</v>
      </c>
      <c r="D196" s="16">
        <f ca="1">MAX(0,'1_Inputs'!$B$11*(1+'1_Inputs'!$C$11*$B196))</f>
        <v>361586.97516878124</v>
      </c>
      <c r="E196" s="16">
        <f ca="1">MAX(0,'1_Inputs'!$B$12*(1+'1_Inputs'!$C$12*$B196))</f>
        <v>414666.32392722025</v>
      </c>
      <c r="F196" s="16">
        <f ca="1">MAX(0,'1_Inputs'!$B$13*(1+'1_Inputs'!$C$13*$B196))</f>
        <v>473904.37020253745</v>
      </c>
      <c r="G196" s="16">
        <f ca="1">MAX(0,'1_Inputs'!$B$14*(1+'1_Inputs'!$C$14*$B196))</f>
        <v>565475.57844146481</v>
      </c>
      <c r="H196" s="16">
        <f ca="1">NPV('1_Inputs'!$B$5,C196:G196)-'1_Inputs'!$B$4</f>
        <v>611955.90043999441</v>
      </c>
      <c r="I196" s="14" t="str">
        <f t="shared" ca="1" si="9"/>
        <v>VAN&gt;0</v>
      </c>
    </row>
    <row r="197" spans="1:9" x14ac:dyDescent="0.3">
      <c r="A197" s="14">
        <v>195</v>
      </c>
      <c r="B197" s="15">
        <f t="shared" ca="1" si="10"/>
        <v>1.2656753066827528E-2</v>
      </c>
      <c r="C197" s="16">
        <f ca="1">MAX(0,'1_Inputs'!$B$10*(1+'1_Inputs'!$C$10*$B197))</f>
        <v>252531.3506133655</v>
      </c>
      <c r="D197" s="16">
        <f ca="1">MAX(0,'1_Inputs'!$B$11*(1+'1_Inputs'!$C$11*$B197))</f>
        <v>300759.40518400964</v>
      </c>
      <c r="E197" s="16">
        <f ca="1">MAX(0,'1_Inputs'!$B$12*(1+'1_Inputs'!$C$12*$B197))</f>
        <v>350797.37544321013</v>
      </c>
      <c r="F197" s="16">
        <f ca="1">MAX(0,'1_Inputs'!$B$13*(1+'1_Inputs'!$C$13*$B197))</f>
        <v>400911.28622081154</v>
      </c>
      <c r="G197" s="16">
        <f ca="1">MAX(0,'1_Inputs'!$B$14*(1+'1_Inputs'!$C$14*$B197))</f>
        <v>451423.88472001808</v>
      </c>
      <c r="H197" s="16">
        <f ca="1">NPV('1_Inputs'!$B$5,C197:G197)-'1_Inputs'!$B$4</f>
        <v>225865.02517716098</v>
      </c>
      <c r="I197" s="14" t="str">
        <f t="shared" ca="1" si="9"/>
        <v>VAN&gt;0</v>
      </c>
    </row>
    <row r="198" spans="1:9" x14ac:dyDescent="0.3">
      <c r="A198" s="14">
        <v>196</v>
      </c>
      <c r="B198" s="15">
        <f t="shared" ca="1" si="10"/>
        <v>1.118027122548829</v>
      </c>
      <c r="C198" s="16">
        <f ca="1">MAX(0,'1_Inputs'!$B$10*(1+'1_Inputs'!$C$10*$B198))</f>
        <v>473605.42450976581</v>
      </c>
      <c r="D198" s="16">
        <f ca="1">MAX(0,'1_Inputs'!$B$11*(1+'1_Inputs'!$C$11*$B198))</f>
        <v>367081.62735292973</v>
      </c>
      <c r="E198" s="16">
        <f ca="1">MAX(0,'1_Inputs'!$B$12*(1+'1_Inputs'!$C$12*$B198))</f>
        <v>420435.70872057619</v>
      </c>
      <c r="F198" s="16">
        <f ca="1">MAX(0,'1_Inputs'!$B$13*(1+'1_Inputs'!$C$13*$B198))</f>
        <v>480497.95282351563</v>
      </c>
      <c r="G198" s="16">
        <f ca="1">MAX(0,'1_Inputs'!$B$14*(1+'1_Inputs'!$C$14*$B198))</f>
        <v>575778.05128674326</v>
      </c>
      <c r="H198" s="16">
        <f ca="1">NPV('1_Inputs'!$B$5,C198:G198)-'1_Inputs'!$B$4</f>
        <v>646832.10988866817</v>
      </c>
      <c r="I198" s="14" t="str">
        <f t="shared" ca="1" si="9"/>
        <v>VAN&gt;0</v>
      </c>
    </row>
    <row r="199" spans="1:9" x14ac:dyDescent="0.3">
      <c r="A199" s="14">
        <v>197</v>
      </c>
      <c r="B199" s="15">
        <f t="shared" ca="1" si="10"/>
        <v>0.24968627579293454</v>
      </c>
      <c r="C199" s="16">
        <f ca="1">MAX(0,'1_Inputs'!$B$10*(1+'1_Inputs'!$C$10*$B199))</f>
        <v>299937.25515858695</v>
      </c>
      <c r="D199" s="16">
        <f ca="1">MAX(0,'1_Inputs'!$B$11*(1+'1_Inputs'!$C$11*$B199))</f>
        <v>314981.17654757603</v>
      </c>
      <c r="E199" s="16">
        <f ca="1">MAX(0,'1_Inputs'!$B$12*(1+'1_Inputs'!$C$12*$B199))</f>
        <v>365730.23537495488</v>
      </c>
      <c r="F199" s="16">
        <f ca="1">MAX(0,'1_Inputs'!$B$13*(1+'1_Inputs'!$C$13*$B199))</f>
        <v>417977.4118570913</v>
      </c>
      <c r="G199" s="16">
        <f ca="1">MAX(0,'1_Inputs'!$B$14*(1+'1_Inputs'!$C$14*$B199))</f>
        <v>478089.70602670516</v>
      </c>
      <c r="H199" s="16">
        <f ca="1">NPV('1_Inputs'!$B$5,C199:G199)-'1_Inputs'!$B$4</f>
        <v>316134.88397510303</v>
      </c>
      <c r="I199" s="14" t="str">
        <f t="shared" ca="1" si="9"/>
        <v>VAN&gt;0</v>
      </c>
    </row>
    <row r="200" spans="1:9" x14ac:dyDescent="0.3">
      <c r="A200" s="14">
        <v>198</v>
      </c>
      <c r="B200" s="15">
        <f t="shared" ca="1" si="10"/>
        <v>-2.2395712155337408</v>
      </c>
      <c r="C200" s="16">
        <f ca="1">MAX(0,'1_Inputs'!$B$10*(1+'1_Inputs'!$C$10*$B200))</f>
        <v>0</v>
      </c>
      <c r="D200" s="16">
        <f ca="1">MAX(0,'1_Inputs'!$B$11*(1+'1_Inputs'!$C$11*$B200))</f>
        <v>165625.72706797553</v>
      </c>
      <c r="E200" s="16">
        <f ca="1">MAX(0,'1_Inputs'!$B$12*(1+'1_Inputs'!$C$12*$B200))</f>
        <v>208907.01342137431</v>
      </c>
      <c r="F200" s="16">
        <f ca="1">MAX(0,'1_Inputs'!$B$13*(1+'1_Inputs'!$C$13*$B200))</f>
        <v>238750.87248157067</v>
      </c>
      <c r="G200" s="16">
        <f ca="1">MAX(0,'1_Inputs'!$B$14*(1+'1_Inputs'!$C$14*$B200))</f>
        <v>198048.23825245415</v>
      </c>
      <c r="H200" s="16">
        <f ca="1">NPV('1_Inputs'!$B$5,C200:G200)-'1_Inputs'!$B$4</f>
        <v>-455159.91382428538</v>
      </c>
      <c r="I200" s="14" t="str">
        <f t="shared" ca="1" si="9"/>
        <v>VAN&lt;0</v>
      </c>
    </row>
    <row r="201" spans="1:9" x14ac:dyDescent="0.3">
      <c r="A201" s="14">
        <v>199</v>
      </c>
      <c r="B201" s="15">
        <f t="shared" ca="1" si="10"/>
        <v>-0.83019146746439587</v>
      </c>
      <c r="C201" s="16">
        <f ca="1">MAX(0,'1_Inputs'!$B$10*(1+'1_Inputs'!$C$10*$B201))</f>
        <v>83961.70650712082</v>
      </c>
      <c r="D201" s="16">
        <f ca="1">MAX(0,'1_Inputs'!$B$11*(1+'1_Inputs'!$C$11*$B201))</f>
        <v>250188.51195213624</v>
      </c>
      <c r="E201" s="16">
        <f ca="1">MAX(0,'1_Inputs'!$B$12*(1+'1_Inputs'!$C$12*$B201))</f>
        <v>297697.9375497431</v>
      </c>
      <c r="F201" s="16">
        <f ca="1">MAX(0,'1_Inputs'!$B$13*(1+'1_Inputs'!$C$13*$B201))</f>
        <v>340226.21434256353</v>
      </c>
      <c r="G201" s="16">
        <f ca="1">MAX(0,'1_Inputs'!$B$14*(1+'1_Inputs'!$C$14*$B201))</f>
        <v>356603.45991025545</v>
      </c>
      <c r="H201" s="16">
        <f ca="1">NPV('1_Inputs'!$B$5,C201:G201)-'1_Inputs'!$B$4</f>
        <v>-95123.638936915435</v>
      </c>
      <c r="I201" s="14" t="str">
        <f t="shared" ca="1" si="9"/>
        <v>VAN&lt;0</v>
      </c>
    </row>
    <row r="202" spans="1:9" x14ac:dyDescent="0.3">
      <c r="A202" s="14">
        <v>200</v>
      </c>
      <c r="B202" s="15">
        <f t="shared" ca="1" si="10"/>
        <v>0.29574928781743881</v>
      </c>
      <c r="C202" s="16">
        <f ca="1">MAX(0,'1_Inputs'!$B$10*(1+'1_Inputs'!$C$10*$B202))</f>
        <v>309149.85756348778</v>
      </c>
      <c r="D202" s="16">
        <f ca="1">MAX(0,'1_Inputs'!$B$11*(1+'1_Inputs'!$C$11*$B202))</f>
        <v>317744.95726904628</v>
      </c>
      <c r="E202" s="16">
        <f ca="1">MAX(0,'1_Inputs'!$B$12*(1+'1_Inputs'!$C$12*$B202))</f>
        <v>368632.20513249864</v>
      </c>
      <c r="F202" s="16">
        <f ca="1">MAX(0,'1_Inputs'!$B$13*(1+'1_Inputs'!$C$13*$B202))</f>
        <v>421293.9487228556</v>
      </c>
      <c r="G202" s="16">
        <f ca="1">MAX(0,'1_Inputs'!$B$14*(1+'1_Inputs'!$C$14*$B202))</f>
        <v>483271.79487946187</v>
      </c>
      <c r="H202" s="16">
        <f ca="1">NPV('1_Inputs'!$B$5,C202:G202)-'1_Inputs'!$B$4</f>
        <v>333677.43117950601</v>
      </c>
      <c r="I202" s="14" t="str">
        <f t="shared" ca="1" si="9"/>
        <v>VAN&gt;0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selection activeCell="B9" sqref="B9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4" max="5" width="14" customWidth="1"/>
    <col min="6" max="6" width="12" customWidth="1"/>
  </cols>
  <sheetData>
    <row r="1" spans="1:8" ht="18" x14ac:dyDescent="0.35">
      <c r="A1" s="25" t="s">
        <v>26</v>
      </c>
      <c r="B1" s="24"/>
      <c r="C1" s="24"/>
      <c r="D1" s="24"/>
      <c r="E1" s="24"/>
      <c r="F1" s="24"/>
      <c r="G1" s="24"/>
      <c r="H1" s="24"/>
    </row>
    <row r="3" spans="1:8" x14ac:dyDescent="0.3">
      <c r="A3" s="23" t="s">
        <v>27</v>
      </c>
      <c r="B3" s="24"/>
      <c r="C3" s="24"/>
      <c r="D3" s="23" t="s">
        <v>28</v>
      </c>
      <c r="E3" s="24"/>
      <c r="F3" s="24"/>
      <c r="G3" s="24"/>
      <c r="H3" s="24"/>
    </row>
    <row r="4" spans="1:8" x14ac:dyDescent="0.3">
      <c r="A4" s="17" t="s">
        <v>29</v>
      </c>
      <c r="B4" s="16">
        <f ca="1">AVERAGE('2_Simulation'!$H$3:$H$202)</f>
        <v>233537.82230116511</v>
      </c>
      <c r="D4" s="6" t="s">
        <v>30</v>
      </c>
      <c r="E4" s="6" t="s">
        <v>31</v>
      </c>
      <c r="F4" s="6" t="s">
        <v>32</v>
      </c>
    </row>
    <row r="5" spans="1:8" x14ac:dyDescent="0.3">
      <c r="A5" s="18" t="s">
        <v>33</v>
      </c>
      <c r="B5" s="16">
        <f ca="1">MEDIAN('2_Simulation'!$H$3:$H$202)</f>
        <v>227513.12724773947</v>
      </c>
      <c r="D5" s="10">
        <v>-800000</v>
      </c>
      <c r="E5" s="10">
        <v>-700000</v>
      </c>
      <c r="F5" s="19">
        <f ca="1">COUNTIFS('2_Simulation'!$H$3:$H$202,"&gt;="&amp;D5,'2_Simulation'!$H$3:$H$202,"&lt;"&amp;E5)</f>
        <v>0</v>
      </c>
    </row>
    <row r="6" spans="1:8" x14ac:dyDescent="0.3">
      <c r="A6" s="18" t="s">
        <v>34</v>
      </c>
      <c r="B6" s="16">
        <f ca="1">_xlfn.STDEV.P('2_Simulation'!$H$3:$H$202)</f>
        <v>352690.07584785123</v>
      </c>
      <c r="D6" s="10">
        <v>-700000</v>
      </c>
      <c r="E6" s="10">
        <v>-600000</v>
      </c>
      <c r="F6" s="19">
        <f ca="1">COUNTIFS('2_Simulation'!$H$3:$H$202,"&gt;="&amp;D6,'2_Simulation'!$H$3:$H$202,"&lt;"&amp;E6)</f>
        <v>0</v>
      </c>
    </row>
    <row r="7" spans="1:8" x14ac:dyDescent="0.3">
      <c r="A7" s="18" t="s">
        <v>35</v>
      </c>
      <c r="B7" s="16">
        <f ca="1">SMALL('2_Simulation'!$H$3:$H$202,MAX(1,ROUNDUP(0.05*COUNT('2_Simulation'!$H$3:$H$202),0)))</f>
        <v>-349169.48133311619</v>
      </c>
      <c r="D7" s="10">
        <v>-600000</v>
      </c>
      <c r="E7" s="10">
        <v>-500000</v>
      </c>
      <c r="F7" s="19">
        <f ca="1">COUNTIFS('2_Simulation'!$H$3:$H$202,"&gt;="&amp;D7,'2_Simulation'!$H$3:$H$202,"&lt;"&amp;E7)</f>
        <v>2</v>
      </c>
    </row>
    <row r="8" spans="1:8" x14ac:dyDescent="0.3">
      <c r="A8" s="18" t="s">
        <v>36</v>
      </c>
      <c r="B8" s="16">
        <f ca="1">LARGE('2_Simulation'!$H$3:$H$202,MAX(1,ROUNDUP(0.05*COUNT('2_Simulation'!$H$3:$H$202),0)))</f>
        <v>832206.85572429071</v>
      </c>
      <c r="D8" s="10">
        <v>-500000</v>
      </c>
      <c r="E8" s="10">
        <v>-400000</v>
      </c>
      <c r="F8" s="19">
        <f ca="1">COUNTIFS('2_Simulation'!$H$3:$H$202,"&gt;="&amp;D8,'2_Simulation'!$H$3:$H$202,"&lt;"&amp;E8)</f>
        <v>3</v>
      </c>
    </row>
    <row r="9" spans="1:8" x14ac:dyDescent="0.3">
      <c r="A9" s="17" t="s">
        <v>37</v>
      </c>
      <c r="B9" s="20">
        <f ca="1">COUNTIF('2_Simulation'!$H$3:$H$202,"&gt;0")/COUNT('2_Simulation'!$H$3:$H$202)</f>
        <v>0.72499999999999998</v>
      </c>
      <c r="D9" s="10">
        <v>-400000</v>
      </c>
      <c r="E9" s="10">
        <v>-300000</v>
      </c>
      <c r="F9" s="19">
        <f ca="1">COUNTIFS('2_Simulation'!$H$3:$H$202,"&gt;="&amp;D9,'2_Simulation'!$H$3:$H$202,"&lt;"&amp;E9)</f>
        <v>7</v>
      </c>
    </row>
    <row r="10" spans="1:8" x14ac:dyDescent="0.3">
      <c r="A10" s="18" t="s">
        <v>38</v>
      </c>
      <c r="B10" s="16">
        <f ca="1">MIN('2_Simulation'!$H$3:$H$202)</f>
        <v>-559212.60568265594</v>
      </c>
      <c r="D10" s="10">
        <v>-300000</v>
      </c>
      <c r="E10" s="10">
        <v>-200000</v>
      </c>
      <c r="F10" s="19">
        <f ca="1">COUNTIFS('2_Simulation'!$H$3:$H$202,"&gt;="&amp;D10,'2_Simulation'!$H$3:$H$202,"&lt;"&amp;E10)</f>
        <v>15</v>
      </c>
    </row>
    <row r="11" spans="1:8" x14ac:dyDescent="0.3">
      <c r="A11" s="18" t="s">
        <v>39</v>
      </c>
      <c r="B11" s="16">
        <f ca="1">MAX('2_Simulation'!$H$3:$H$202)</f>
        <v>1179825.1337129367</v>
      </c>
      <c r="D11" s="10">
        <v>-200000</v>
      </c>
      <c r="E11" s="10">
        <v>-100000</v>
      </c>
      <c r="F11" s="19">
        <f ca="1">COUNTIFS('2_Simulation'!$H$3:$H$202,"&gt;="&amp;D11,'2_Simulation'!$H$3:$H$202,"&lt;"&amp;E11)</f>
        <v>13</v>
      </c>
    </row>
    <row r="12" spans="1:8" x14ac:dyDescent="0.3">
      <c r="A12" s="18" t="s">
        <v>40</v>
      </c>
      <c r="B12" s="21">
        <f>'1_Inputs'!$B$6</f>
        <v>250</v>
      </c>
      <c r="D12" s="10">
        <v>-100000</v>
      </c>
      <c r="E12" s="10">
        <v>0</v>
      </c>
      <c r="F12" s="19">
        <f ca="1">COUNTIFS('2_Simulation'!$H$3:$H$202,"&gt;="&amp;D12,'2_Simulation'!$H$3:$H$202,"&lt;"&amp;E12)</f>
        <v>15</v>
      </c>
    </row>
    <row r="13" spans="1:8" x14ac:dyDescent="0.3">
      <c r="D13" s="10">
        <v>0</v>
      </c>
      <c r="E13" s="10">
        <v>100000</v>
      </c>
      <c r="F13" s="19">
        <f ca="1">COUNTIFS('2_Simulation'!$H$3:$H$202,"&gt;="&amp;D13,'2_Simulation'!$H$3:$H$202,"&lt;"&amp;E13)</f>
        <v>13</v>
      </c>
    </row>
    <row r="14" spans="1:8" x14ac:dyDescent="0.3">
      <c r="D14" s="10">
        <v>100000</v>
      </c>
      <c r="E14" s="10">
        <v>200000</v>
      </c>
      <c r="F14" s="19">
        <f ca="1">COUNTIFS('2_Simulation'!$H$3:$H$202,"&gt;="&amp;D14,'2_Simulation'!$H$3:$H$202,"&lt;"&amp;E14)</f>
        <v>24</v>
      </c>
    </row>
    <row r="15" spans="1:8" x14ac:dyDescent="0.3">
      <c r="A15" s="27" t="s">
        <v>41</v>
      </c>
      <c r="B15" s="24"/>
      <c r="C15" s="24"/>
      <c r="D15" s="10">
        <v>200000</v>
      </c>
      <c r="E15" s="10">
        <v>300000</v>
      </c>
      <c r="F15" s="19">
        <f ca="1">COUNTIFS('2_Simulation'!$H$3:$H$202,"&gt;="&amp;D15,'2_Simulation'!$H$3:$H$202,"&lt;"&amp;E15)</f>
        <v>25</v>
      </c>
    </row>
    <row r="16" spans="1:8" x14ac:dyDescent="0.3">
      <c r="A16" s="28" t="s">
        <v>42</v>
      </c>
      <c r="B16" s="24"/>
      <c r="C16" s="24"/>
      <c r="D16" s="10">
        <v>300000</v>
      </c>
      <c r="E16" s="10">
        <v>400000</v>
      </c>
      <c r="F16" s="19">
        <f ca="1">COUNTIFS('2_Simulation'!$H$3:$H$202,"&gt;="&amp;D16,'2_Simulation'!$H$3:$H$202,"&lt;"&amp;E16)</f>
        <v>21</v>
      </c>
    </row>
    <row r="17" spans="1:6" x14ac:dyDescent="0.3">
      <c r="A17" s="24"/>
      <c r="B17" s="24"/>
      <c r="C17" s="24"/>
      <c r="D17" s="10">
        <v>400000</v>
      </c>
      <c r="E17" s="10">
        <v>500000</v>
      </c>
      <c r="F17" s="19">
        <f ca="1">COUNTIFS('2_Simulation'!$H$3:$H$202,"&gt;="&amp;D17,'2_Simulation'!$H$3:$H$202,"&lt;"&amp;E17)</f>
        <v>18</v>
      </c>
    </row>
    <row r="18" spans="1:6" x14ac:dyDescent="0.3">
      <c r="A18" s="24"/>
      <c r="B18" s="24"/>
      <c r="C18" s="24"/>
      <c r="D18" s="10">
        <v>500000</v>
      </c>
      <c r="E18" s="10">
        <v>600000</v>
      </c>
      <c r="F18" s="19">
        <f ca="1">COUNTIFS('2_Simulation'!$H$3:$H$202,"&gt;="&amp;D18,'2_Simulation'!$H$3:$H$202,"&lt;"&amp;E18)</f>
        <v>15</v>
      </c>
    </row>
    <row r="19" spans="1:6" x14ac:dyDescent="0.3">
      <c r="A19" s="24"/>
      <c r="B19" s="24"/>
      <c r="C19" s="24"/>
      <c r="D19" s="10">
        <v>600000</v>
      </c>
      <c r="E19" s="10">
        <v>700000</v>
      </c>
      <c r="F19" s="19">
        <f ca="1">COUNTIFS('2_Simulation'!$H$3:$H$202,"&gt;="&amp;D19,'2_Simulation'!$H$3:$H$202,"&lt;"&amp;E19)</f>
        <v>10</v>
      </c>
    </row>
    <row r="20" spans="1:6" x14ac:dyDescent="0.3">
      <c r="A20" s="24"/>
      <c r="B20" s="24"/>
      <c r="C20" s="24"/>
      <c r="D20" s="10">
        <v>700000</v>
      </c>
      <c r="E20" s="10">
        <v>800000</v>
      </c>
      <c r="F20" s="19">
        <f ca="1">COUNTIFS('2_Simulation'!$H$3:$H$202,"&gt;="&amp;D20,'2_Simulation'!$H$3:$H$202,"&lt;"&amp;E20)</f>
        <v>8</v>
      </c>
    </row>
    <row r="21" spans="1:6" x14ac:dyDescent="0.3">
      <c r="D21" s="10">
        <v>800000</v>
      </c>
      <c r="E21" s="10">
        <v>900000</v>
      </c>
      <c r="F21" s="19">
        <f ca="1">COUNTIFS('2_Simulation'!$H$3:$H$202,"&gt;="&amp;D21,'2_Simulation'!$H$3:$H$202,"&lt;"&amp;E21)</f>
        <v>3</v>
      </c>
    </row>
    <row r="22" spans="1:6" x14ac:dyDescent="0.3">
      <c r="D22" s="10">
        <v>900000</v>
      </c>
      <c r="E22" s="10">
        <v>1000000</v>
      </c>
      <c r="F22" s="19">
        <f ca="1">COUNTIFS('2_Simulation'!$H$3:$H$202,"&gt;="&amp;D22,'2_Simulation'!$H$3:$H$202,"&lt;"&amp;E22)</f>
        <v>4</v>
      </c>
    </row>
    <row r="23" spans="1:6" x14ac:dyDescent="0.3">
      <c r="D23" s="10">
        <v>1000000</v>
      </c>
      <c r="E23" s="10">
        <v>1100000</v>
      </c>
      <c r="F23" s="19">
        <f ca="1">COUNTIFS('2_Simulation'!$H$3:$H$202,"&gt;="&amp;D23,'2_Simulation'!$H$3:$H$202,"&lt;"&amp;E23)</f>
        <v>2</v>
      </c>
    </row>
    <row r="24" spans="1:6" x14ac:dyDescent="0.3">
      <c r="D24" s="10">
        <v>1100000</v>
      </c>
      <c r="E24" s="10">
        <v>1200000</v>
      </c>
      <c r="F24" s="19">
        <f ca="1">COUNTIFS('2_Simulation'!$H$3:$H$202,"&gt;="&amp;D24,'2_Simulation'!$H$3:$H$202,"&lt;"&amp;E24)</f>
        <v>2</v>
      </c>
    </row>
    <row r="25" spans="1:6" x14ac:dyDescent="0.3">
      <c r="D25" s="10">
        <v>1200000</v>
      </c>
      <c r="F25" s="19">
        <f ca="1">COUNTIF('2_Simulation'!$H$3:$H$202,"&gt;="&amp;D25)</f>
        <v>0</v>
      </c>
    </row>
  </sheetData>
  <mergeCells count="5">
    <mergeCell ref="A3:C3"/>
    <mergeCell ref="A1:H1"/>
    <mergeCell ref="A15:C15"/>
    <mergeCell ref="A16:C20"/>
    <mergeCell ref="D3:H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tabSelected="1" workbookViewId="0">
      <selection sqref="A1:F1"/>
    </sheetView>
  </sheetViews>
  <sheetFormatPr baseColWidth="10" defaultColWidth="8.88671875" defaultRowHeight="14.4" x14ac:dyDescent="0.3"/>
  <cols>
    <col min="1" max="1" width="115" customWidth="1"/>
  </cols>
  <sheetData>
    <row r="1" spans="1:6" ht="18" x14ac:dyDescent="0.35">
      <c r="A1" s="25" t="s">
        <v>43</v>
      </c>
      <c r="B1" s="24"/>
      <c r="C1" s="24"/>
      <c r="D1" s="24"/>
      <c r="E1" s="24"/>
      <c r="F1" s="24"/>
    </row>
    <row r="3" spans="1:6" ht="22.05" customHeight="1" x14ac:dyDescent="0.3">
      <c r="A3" s="22" t="s">
        <v>44</v>
      </c>
    </row>
    <row r="4" spans="1:6" ht="22.05" customHeight="1" x14ac:dyDescent="0.3">
      <c r="A4" s="22" t="s">
        <v>45</v>
      </c>
    </row>
    <row r="5" spans="1:6" ht="22.05" customHeight="1" x14ac:dyDescent="0.3">
      <c r="A5" s="22" t="s">
        <v>46</v>
      </c>
    </row>
    <row r="6" spans="1:6" ht="22.05" customHeight="1" x14ac:dyDescent="0.3">
      <c r="A6" s="22" t="s">
        <v>47</v>
      </c>
    </row>
    <row r="7" spans="1:6" ht="22.05" customHeight="1" x14ac:dyDescent="0.3">
      <c r="A7" s="22"/>
    </row>
    <row r="8" spans="1:6" ht="22.05" customHeight="1" x14ac:dyDescent="0.3">
      <c r="A8" s="22" t="s">
        <v>48</v>
      </c>
    </row>
    <row r="9" spans="1:6" ht="22.05" customHeight="1" x14ac:dyDescent="0.3">
      <c r="A9" s="22" t="s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1_Inputs</vt:lpstr>
      <vt:lpstr>2_Simulation</vt:lpstr>
      <vt:lpstr>3_Results</vt:lpstr>
      <vt:lpstr>4_Mode_d'emploi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VERDIE Jean-François</cp:lastModifiedBy>
  <dcterms:created xsi:type="dcterms:W3CDTF">2026-02-11T11:16:12Z</dcterms:created>
  <dcterms:modified xsi:type="dcterms:W3CDTF">2026-03-25T06:48:39Z</dcterms:modified>
</cp:coreProperties>
</file>